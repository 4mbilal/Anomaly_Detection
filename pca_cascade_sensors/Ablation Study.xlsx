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RnD\Frameworks\Matlab\anomaly_detection\padim\"/>
    </mc:Choice>
  </mc:AlternateContent>
  <xr:revisionPtr revIDLastSave="0" documentId="13_ncr:1_{6B4A364F-07BD-4AF0-BDBA-CD652DDE15B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aseline" sheetId="2" r:id="rId1"/>
    <sheet name="Squeezenet" sheetId="1" r:id="rId2"/>
    <sheet name="ResNet18" sheetId="3" r:id="rId3"/>
    <sheet name="mobilenetv2" sheetId="7" r:id="rId4"/>
    <sheet name="ResNet50" sheetId="6" r:id="rId5"/>
    <sheet name="Darknet_tiny" sheetId="4" r:id="rId6"/>
    <sheet name="Darknet19" sheetId="5" r:id="rId7"/>
    <sheet name="Darknet53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8" l="1"/>
  <c r="L20" i="8"/>
  <c r="K20" i="8"/>
  <c r="E20" i="8"/>
  <c r="B20" i="8"/>
  <c r="GF23" i="7"/>
  <c r="GE23" i="7"/>
  <c r="EU23" i="3"/>
  <c r="GC23" i="7"/>
  <c r="GB23" i="7"/>
  <c r="FZ23" i="7"/>
  <c r="FY23" i="7"/>
  <c r="FW23" i="7"/>
  <c r="FV23" i="7"/>
  <c r="FT23" i="7" l="1"/>
  <c r="FS23" i="7"/>
  <c r="FQ23" i="7"/>
  <c r="FP23" i="7"/>
  <c r="FN23" i="7"/>
  <c r="FM23" i="7"/>
  <c r="FI23" i="7"/>
  <c r="FH23" i="7"/>
  <c r="FF23" i="7"/>
  <c r="FE23" i="7"/>
  <c r="EE23" i="7"/>
  <c r="ED23" i="7"/>
  <c r="EH23" i="7"/>
  <c r="EG23" i="7"/>
  <c r="EK23" i="7"/>
  <c r="EJ23" i="7"/>
  <c r="EN23" i="7"/>
  <c r="EM23" i="7"/>
  <c r="FC23" i="7"/>
  <c r="FB23" i="7"/>
  <c r="EZ23" i="7"/>
  <c r="EY23" i="7"/>
  <c r="EW23" i="7"/>
  <c r="EV23" i="7"/>
  <c r="ET23" i="7"/>
  <c r="ES23" i="7"/>
  <c r="EQ23" i="7"/>
  <c r="EP23" i="7"/>
  <c r="EB23" i="7"/>
  <c r="EA23" i="7"/>
  <c r="DY23" i="7" l="1"/>
  <c r="DX23" i="7"/>
  <c r="DU23" i="7" l="1"/>
  <c r="DT23" i="7"/>
  <c r="DM23" i="7"/>
  <c r="DN23" i="7"/>
  <c r="DL23" i="7"/>
  <c r="DK23" i="7"/>
  <c r="DQ23" i="7"/>
  <c r="DP23" i="7"/>
  <c r="DI23" i="7"/>
  <c r="DH23" i="7" l="1"/>
  <c r="DF23" i="7"/>
  <c r="DE23" i="7"/>
  <c r="DD23" i="7"/>
  <c r="DC23" i="7"/>
  <c r="DB23" i="7"/>
  <c r="DA23" i="7"/>
  <c r="CZ23" i="7"/>
  <c r="CY23" i="7"/>
  <c r="CX23" i="7"/>
  <c r="CW23" i="7"/>
  <c r="CV23" i="7"/>
  <c r="CT23" i="7"/>
  <c r="CQ23" i="7"/>
  <c r="CR23" i="7"/>
  <c r="CS23" i="7"/>
  <c r="CU23" i="7" l="1"/>
  <c r="CN23" i="7"/>
  <c r="CJ23" i="7"/>
  <c r="CF23" i="7"/>
  <c r="CB23" i="7"/>
  <c r="BX23" i="7"/>
  <c r="BS23" i="7"/>
  <c r="BO23" i="7"/>
  <c r="BK23" i="7"/>
  <c r="BG23" i="7"/>
  <c r="BC23" i="7"/>
  <c r="AY23" i="7"/>
  <c r="AU23" i="7"/>
  <c r="AQ23" i="7"/>
  <c r="AM23" i="7"/>
  <c r="AI23" i="7"/>
  <c r="AE23" i="7"/>
  <c r="AA23" i="7"/>
  <c r="W23" i="7"/>
  <c r="GP23" i="3"/>
  <c r="GM23" i="3"/>
  <c r="B23" i="7"/>
  <c r="T23" i="7"/>
  <c r="Q23" i="7"/>
  <c r="N23" i="7"/>
  <c r="K23" i="7"/>
  <c r="H23" i="7" l="1"/>
  <c r="E23" i="7"/>
  <c r="GI23" i="3"/>
  <c r="GF23" i="3"/>
  <c r="GB23" i="3"/>
  <c r="FY23" i="3"/>
  <c r="FV23" i="3"/>
  <c r="FS23" i="3"/>
  <c r="FP23" i="3"/>
  <c r="FM23" i="3"/>
  <c r="FJ23" i="3"/>
  <c r="FG23" i="3"/>
  <c r="FD23" i="3"/>
  <c r="FA23" i="3"/>
  <c r="EW23" i="3"/>
  <c r="ET23" i="3"/>
  <c r="EQ23" i="3" l="1"/>
  <c r="EN23" i="3"/>
  <c r="EK23" i="3"/>
  <c r="EH23" i="3"/>
  <c r="EE23" i="3"/>
  <c r="EB23" i="3"/>
  <c r="DY23" i="3"/>
  <c r="DV23" i="3"/>
  <c r="DS23" i="3"/>
  <c r="DP23" i="3"/>
  <c r="W23" i="6"/>
  <c r="T23" i="6"/>
  <c r="Q23" i="6"/>
  <c r="N23" i="6"/>
  <c r="K23" i="6" l="1"/>
  <c r="H23" i="6"/>
  <c r="O23" i="4"/>
  <c r="G23" i="4"/>
  <c r="I23" i="3" l="1"/>
  <c r="F23" i="3"/>
  <c r="E23" i="6"/>
  <c r="B23" i="6"/>
  <c r="K23" i="4"/>
  <c r="DL23" i="3" l="1"/>
  <c r="DH23" i="3"/>
  <c r="DD23" i="3"/>
  <c r="DA23" i="3"/>
  <c r="CX23" i="3"/>
  <c r="CU23" i="3"/>
  <c r="CL23" i="3"/>
  <c r="CR23" i="3"/>
  <c r="CO23" i="3"/>
  <c r="CI23" i="3"/>
  <c r="CF23" i="3"/>
  <c r="CC23" i="3"/>
  <c r="BZ23" i="3"/>
  <c r="BW23" i="3"/>
  <c r="BT23" i="3"/>
  <c r="BQ23" i="3"/>
  <c r="BN23" i="3"/>
  <c r="BK23" i="3"/>
  <c r="BH23" i="3"/>
  <c r="BE23" i="3"/>
  <c r="BB23" i="3"/>
  <c r="AY23" i="3"/>
  <c r="AV23" i="3"/>
  <c r="AR23" i="3"/>
  <c r="AN23" i="3"/>
  <c r="Y23" i="3"/>
  <c r="AJ23" i="3"/>
  <c r="AF23" i="3"/>
  <c r="U23" i="3"/>
  <c r="T23" i="4"/>
  <c r="X23" i="4" l="1"/>
  <c r="Q23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8" i="4"/>
  <c r="L23" i="5"/>
  <c r="I23" i="5"/>
  <c r="E23" i="5"/>
  <c r="B23" i="5"/>
  <c r="AH23" i="4"/>
  <c r="AE23" i="4"/>
  <c r="AB23" i="4"/>
  <c r="N23" i="4"/>
  <c r="J23" i="4"/>
  <c r="F23" i="4"/>
  <c r="B23" i="4"/>
  <c r="AJ23" i="4" l="1"/>
  <c r="AC23" i="3"/>
  <c r="Q23" i="3"/>
  <c r="M23" i="3"/>
  <c r="C23" i="3"/>
  <c r="BH23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8" i="1"/>
  <c r="AE23" i="1"/>
  <c r="AA23" i="1"/>
  <c r="W23" i="1"/>
  <c r="S23" i="1"/>
  <c r="K23" i="1"/>
  <c r="O23" i="1"/>
  <c r="BE23" i="1"/>
  <c r="BB23" i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2" i="2"/>
  <c r="O17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2" i="2"/>
  <c r="N17" i="2"/>
  <c r="M17" i="2"/>
  <c r="K17" i="2"/>
  <c r="L17" i="2"/>
  <c r="J17" i="2"/>
  <c r="F17" i="2"/>
  <c r="B17" i="2"/>
  <c r="AX23" i="1"/>
  <c r="AT23" i="1"/>
  <c r="AP23" i="1"/>
  <c r="AL23" i="1"/>
  <c r="AH23" i="1"/>
  <c r="F23" i="1"/>
  <c r="B23" i="1"/>
</calcChain>
</file>

<file path=xl/sharedStrings.xml><?xml version="1.0" encoding="utf-8"?>
<sst xmlns="http://schemas.openxmlformats.org/spreadsheetml/2006/main" count="3189" uniqueCount="197">
  <si>
    <t>Layer</t>
  </si>
  <si>
    <t>fire8</t>
  </si>
  <si>
    <t>no. of features</t>
  </si>
  <si>
    <t>input size</t>
  </si>
  <si>
    <t>filtering</t>
  </si>
  <si>
    <t>none</t>
  </si>
  <si>
    <t>Carpet</t>
  </si>
  <si>
    <t>Grid</t>
  </si>
  <si>
    <t>Leather</t>
  </si>
  <si>
    <t>Tile</t>
  </si>
  <si>
    <t>Wood</t>
  </si>
  <si>
    <t>Bottle</t>
  </si>
  <si>
    <t>Cable</t>
  </si>
  <si>
    <t>Capsule</t>
  </si>
  <si>
    <t>Hazlenut</t>
  </si>
  <si>
    <t>Metal Nut</t>
  </si>
  <si>
    <t>Pil</t>
  </si>
  <si>
    <t>Screw</t>
  </si>
  <si>
    <t>Toothbrush</t>
  </si>
  <si>
    <t>Transistor</t>
  </si>
  <si>
    <t>Zipper</t>
  </si>
  <si>
    <t>Average</t>
  </si>
  <si>
    <t>Notes</t>
  </si>
  <si>
    <t>1:2:end</t>
  </si>
  <si>
    <t>2:2:end</t>
  </si>
  <si>
    <t>1:4:end</t>
  </si>
  <si>
    <t>epsilon</t>
  </si>
  <si>
    <t>fire7</t>
  </si>
  <si>
    <t>fire9</t>
  </si>
  <si>
    <t>PadIM as Reported in SimpleNet paper</t>
  </si>
  <si>
    <t>Hazelnut</t>
  </si>
  <si>
    <t>Metal nut</t>
  </si>
  <si>
    <t>Pill</t>
  </si>
  <si>
    <t>Features</t>
  </si>
  <si>
    <t>1 to 100</t>
  </si>
  <si>
    <t>101 to 200</t>
  </si>
  <si>
    <t>201 to 300</t>
  </si>
  <si>
    <t>301 to 400</t>
  </si>
  <si>
    <t>401 to 448</t>
  </si>
  <si>
    <t>This 0.91 seems to be fixed in stone! No matter what features are used, it's just fixed</t>
  </si>
  <si>
    <t>PaDim Results from their github</t>
  </si>
  <si>
    <t>Feature Selection instead of random</t>
  </si>
  <si>
    <t>PadIM reconstructed in Matlab (5 experiments)</t>
  </si>
  <si>
    <t>Average of 5</t>
  </si>
  <si>
    <t>Difference from original github results</t>
  </si>
  <si>
    <t>all</t>
  </si>
  <si>
    <t>random</t>
  </si>
  <si>
    <t>fire6</t>
  </si>
  <si>
    <t>fire5</t>
  </si>
  <si>
    <t>fire4</t>
  </si>
  <si>
    <t>error</t>
  </si>
  <si>
    <t>fire3</t>
  </si>
  <si>
    <t>fire2</t>
  </si>
  <si>
    <t>Max of all</t>
  </si>
  <si>
    <t>5b</t>
  </si>
  <si>
    <t>4b</t>
  </si>
  <si>
    <t>3b</t>
  </si>
  <si>
    <t>2b</t>
  </si>
  <si>
    <t>Resnet18 shows the trend for texture class as we move deeper but squeezenet did not!</t>
  </si>
  <si>
    <t>conv2d_9</t>
  </si>
  <si>
    <t>conv2d_8</t>
  </si>
  <si>
    <t>conv2d_6</t>
  </si>
  <si>
    <t>conv2d_5</t>
  </si>
  <si>
    <t>conv2d_4</t>
  </si>
  <si>
    <t>conv2d_3</t>
  </si>
  <si>
    <t>conv2d_10</t>
  </si>
  <si>
    <t>conv2d_12</t>
  </si>
  <si>
    <t>conv2d_5 + conv2d_6</t>
  </si>
  <si>
    <t>1:3:768</t>
  </si>
  <si>
    <t>1:2:768</t>
  </si>
  <si>
    <t>distance</t>
  </si>
  <si>
    <t>sqrt(max(abs(Y(:))./sqrt(S(:))))</t>
  </si>
  <si>
    <t>S = max(S,1e-2);</t>
  </si>
  <si>
    <t>predict</t>
  </si>
  <si>
    <t>forward</t>
  </si>
  <si>
    <t>S = S + 0.01</t>
  </si>
  <si>
    <t>sqrt(sum(Y(:).^2./S(:)</t>
  </si>
  <si>
    <t>10::64</t>
  </si>
  <si>
    <t>15::64</t>
  </si>
  <si>
    <t>20::64</t>
  </si>
  <si>
    <t>30::64</t>
  </si>
  <si>
    <t>50::64</t>
  </si>
  <si>
    <t>55::64</t>
  </si>
  <si>
    <t>60::64</t>
  </si>
  <si>
    <t>62::64</t>
  </si>
  <si>
    <t>63::64</t>
  </si>
  <si>
    <t>64::64</t>
  </si>
  <si>
    <t>65::128</t>
  </si>
  <si>
    <t>sqrt(sum(Y(65:end).^2</t>
  </si>
  <si>
    <t>100::128</t>
  </si>
  <si>
    <t>114::128</t>
  </si>
  <si>
    <t>80::128</t>
  </si>
  <si>
    <t>sqrt(sum(Y(128:end).^2</t>
  </si>
  <si>
    <t>128::256</t>
  </si>
  <si>
    <t>192::256</t>
  </si>
  <si>
    <t>64::256</t>
  </si>
  <si>
    <t>sqrt(sum(Y(64:end).^2</t>
  </si>
  <si>
    <t>sqrt(sum(Y(192:end).^2</t>
  </si>
  <si>
    <t>1::256</t>
  </si>
  <si>
    <t>sqrt(sum(Y(1:end).^2./S(1:end)</t>
  </si>
  <si>
    <t>4b+3b</t>
  </si>
  <si>
    <t>1::384</t>
  </si>
  <si>
    <t>192::384</t>
  </si>
  <si>
    <t>add_3</t>
  </si>
  <si>
    <t>1::128</t>
  </si>
  <si>
    <t>sqrt(sum((Y.^2)./S</t>
  </si>
  <si>
    <t>S = S+0.01</t>
  </si>
  <si>
    <t>1::64</t>
  </si>
  <si>
    <t>sqrt(sum(Y.^2,"all")</t>
  </si>
  <si>
    <t>5a</t>
  </si>
  <si>
    <t>4a</t>
  </si>
  <si>
    <t>bn5a_branch2b</t>
  </si>
  <si>
    <t>add_9</t>
  </si>
  <si>
    <t>add_8</t>
  </si>
  <si>
    <t>add_7</t>
  </si>
  <si>
    <t>add_10</t>
  </si>
  <si>
    <t>bn5a_branch2a</t>
  </si>
  <si>
    <t>sqrt(sum(Y.^2./S))</t>
  </si>
  <si>
    <t>No. of images</t>
  </si>
  <si>
    <t>bn4b_branch2b</t>
  </si>
  <si>
    <t>bn5a_branch2a + 4b</t>
  </si>
  <si>
    <t>bn5a_branch2a + 4a</t>
  </si>
  <si>
    <t>Too much deep, not good for texture</t>
  </si>
  <si>
    <t xml:space="preserve">bn5a_branch2a </t>
  </si>
  <si>
    <t>512/448</t>
  </si>
  <si>
    <t>256/224</t>
  </si>
  <si>
    <t>rs5b</t>
  </si>
  <si>
    <t>rs5a+4a</t>
  </si>
  <si>
    <t>rs5a+4a+3a</t>
  </si>
  <si>
    <t>block_9_add</t>
  </si>
  <si>
    <t>block_11_add</t>
  </si>
  <si>
    <t>block_12_add</t>
  </si>
  <si>
    <t>block_14_add</t>
  </si>
  <si>
    <t>block_15_add</t>
  </si>
  <si>
    <t>block_8_add</t>
  </si>
  <si>
    <t>block_15_add, 9 and 11</t>
  </si>
  <si>
    <t>---</t>
  </si>
  <si>
    <t>sqrt(sum((Y.^2)./(1+S).^1.5</t>
  </si>
  <si>
    <t>block_15_add, 8 and 11</t>
  </si>
  <si>
    <t>block_15_add, 7 and 11</t>
  </si>
  <si>
    <t>block_15_add, 6_BN and 11</t>
  </si>
  <si>
    <t>block_15_add, 5 and 11</t>
  </si>
  <si>
    <t>block_7_add seems to be best for texture class</t>
  </si>
  <si>
    <t>block_15_add, 7 and 12</t>
  </si>
  <si>
    <t>block_15_add, 7 and 13_BN</t>
  </si>
  <si>
    <t>block_15_add, 7 and 10_BN</t>
  </si>
  <si>
    <t>block_15_add, 7 and 9</t>
  </si>
  <si>
    <t>block_14_add, 7 and 11</t>
  </si>
  <si>
    <t>block_13_project_BN, 7 and 11</t>
  </si>
  <si>
    <t>block_12_add, 7 and 11</t>
  </si>
  <si>
    <t>sqrt(sum((Y.^2)./abs(1+S).^1.5,"all"))</t>
  </si>
  <si>
    <t>sqrt(sum((Y.^2),"all"))</t>
  </si>
  <si>
    <t>1--5</t>
  </si>
  <si>
    <t>block_15_add, 11 and 9</t>
  </si>
  <si>
    <t>sqrt(sum((Y.^2)./S,"all"))</t>
  </si>
  <si>
    <t>0.02*mx</t>
  </si>
  <si>
    <t>with augmentations</t>
  </si>
  <si>
    <t>sqrt(sum((Y.^2)./S.^0.5,"all"))</t>
  </si>
  <si>
    <t>4x examples</t>
  </si>
  <si>
    <t>8x examples</t>
  </si>
  <si>
    <t>sqrt(sum((Y.^2)./S^0.5,"all"))</t>
  </si>
  <si>
    <t>auc-i</t>
  </si>
  <si>
    <t>auc-p</t>
  </si>
  <si>
    <t>80%, sqrt(sum((Y.^2),"all"))</t>
  </si>
  <si>
    <t>block_8_depthwise_BN "block_5_depthwise_BN" "block_4_depthwise_BN"</t>
  </si>
  <si>
    <t>80%, sqrt(sum((Y.^2)./S.^0.5,"all"))</t>
  </si>
  <si>
    <t>so scaling by S reduces accuracy</t>
  </si>
  <si>
    <t>Run -1</t>
  </si>
  <si>
    <t>Run - 2</t>
  </si>
  <si>
    <t>results replicated</t>
  </si>
  <si>
    <t>These layers have higher number of features which could possibly explain why not using S is better even when using 80% of these</t>
  </si>
  <si>
    <t>All the energy is in those 20%</t>
  </si>
  <si>
    <t>Run - 3</t>
  </si>
  <si>
    <t>with fewer augmentation runs</t>
  </si>
  <si>
    <t>with bilinear upscaling of anomaly maps</t>
  </si>
  <si>
    <t>Run -2</t>
  </si>
  <si>
    <t>some variations mostly in capsule class</t>
  </si>
  <si>
    <t>but auc-p is almost constant</t>
  </si>
  <si>
    <t>block_8_depthwise_BN</t>
  </si>
  <si>
    <t>block_7_depthwise_BN</t>
  </si>
  <si>
    <t>block_6_depthwise_BN</t>
  </si>
  <si>
    <t>block_9_depthwise_BN</t>
  </si>
  <si>
    <t>block_8_depthwise_BN "block_7_depthwise_BN" "block_6_depthwise_BN"</t>
  </si>
  <si>
    <t>block_10_depthwise_BN</t>
  </si>
  <si>
    <t>block_11_depthwise_BN</t>
  </si>
  <si>
    <t>block_12_depthwise_BN</t>
  </si>
  <si>
    <t>block_13_depthwise_BN</t>
  </si>
  <si>
    <t>another two runs with more augmentations</t>
  </si>
  <si>
    <t>SimpleNet</t>
  </si>
  <si>
    <t>PA</t>
  </si>
  <si>
    <t>1.25 input size</t>
  </si>
  <si>
    <t>1.5 size</t>
  </si>
  <si>
    <t>another two runs with 15 rounds of augmentations</t>
  </si>
  <si>
    <t>res12</t>
  </si>
  <si>
    <t>layer</t>
  </si>
  <si>
    <t>conv27</t>
  </si>
  <si>
    <t>reference mobilenetv2 current 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</si>
</sst>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/>
    <xf numFmtId="2" fontId="1" fillId="0" borderId="1" xfId="0" applyNumberFormat="1" applyFont="1" applyBorder="1"/>
    <xf numFmtId="2" fontId="0" fillId="0" borderId="0" xfId="0" applyNumberFormat="1"/>
    <xf numFmtId="164" fontId="0" fillId="0" borderId="0" xfId="0" applyNumberFormat="1"/>
    <xf numFmtId="0" fontId="2" fillId="0" borderId="0" xfId="0" applyFont="1"/>
    <xf numFmtId="0" fontId="1" fillId="0" borderId="0" xfId="0" applyFont="1"/>
    <xf numFmtId="0" fontId="2" fillId="0" borderId="2" xfId="0" applyFont="1" applyBorder="1"/>
    <xf numFmtId="0" fontId="1" fillId="0" borderId="3" xfId="0" applyFont="1" applyBorder="1"/>
    <xf numFmtId="2" fontId="1" fillId="0" borderId="3" xfId="0" applyNumberFormat="1" applyFont="1" applyBorder="1"/>
    <xf numFmtId="2" fontId="2" fillId="0" borderId="1" xfId="0" applyNumberFormat="1" applyFont="1" applyBorder="1"/>
    <xf numFmtId="2" fontId="0" fillId="2" borderId="0" xfId="0" applyNumberFormat="1" applyFill="1"/>
    <xf numFmtId="2" fontId="1" fillId="0" borderId="0" xfId="0" applyNumberFormat="1" applyFont="1"/>
    <xf numFmtId="2" fontId="0" fillId="0" borderId="1" xfId="0" applyNumberFormat="1" applyBorder="1"/>
    <xf numFmtId="49" fontId="0" fillId="0" borderId="0" xfId="0" applyNumberFormat="1"/>
    <xf numFmtId="0" fontId="1" fillId="0" borderId="4" xfId="0" applyFont="1" applyBorder="1"/>
    <xf numFmtId="2" fontId="1" fillId="0" borderId="5" xfId="0" applyNumberFormat="1" applyFont="1" applyBorder="1"/>
    <xf numFmtId="17" fontId="0" fillId="0" borderId="0" xfId="0" applyNumberFormat="1"/>
    <xf numFmtId="0" fontId="3" fillId="0" borderId="6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0" fillId="0" borderId="1" xfId="0" applyBorder="1"/>
    <xf numFmtId="166" fontId="0" fillId="0" borderId="0" xfId="0" applyNumberFormat="1"/>
    <xf numFmtId="165" fontId="0" fillId="0" borderId="1" xfId="0" applyNumberFormat="1" applyBorder="1"/>
    <xf numFmtId="166" fontId="0" fillId="0" borderId="1" xfId="0" applyNumberFormat="1" applyBorder="1"/>
    <xf numFmtId="165" fontId="1" fillId="0" borderId="1" xfId="0" applyNumberFormat="1" applyFont="1" applyBorder="1"/>
    <xf numFmtId="166" fontId="1" fillId="0" borderId="1" xfId="0" applyNumberFormat="1" applyFont="1" applyBorder="1"/>
    <xf numFmtId="166" fontId="0" fillId="2" borderId="1" xfId="0" applyNumberFormat="1" applyFill="1" applyBorder="1"/>
    <xf numFmtId="165" fontId="0" fillId="2" borderId="1" xfId="0" applyNumberFormat="1" applyFill="1" applyBorder="1"/>
    <xf numFmtId="2" fontId="0" fillId="2" borderId="1" xfId="0" applyNumberFormat="1" applyFill="1" applyBorder="1"/>
    <xf numFmtId="0" fontId="0" fillId="2" borderId="1" xfId="0" applyFill="1" applyBorder="1"/>
    <xf numFmtId="165" fontId="0" fillId="0" borderId="0" xfId="0" applyNumberFormat="1"/>
    <xf numFmtId="0" fontId="0" fillId="0" borderId="0" xfId="0" quotePrefix="1"/>
    <xf numFmtId="0" fontId="1" fillId="2" borderId="1" xfId="0" applyFont="1" applyFill="1" applyBorder="1"/>
    <xf numFmtId="165" fontId="1" fillId="2" borderId="1" xfId="0" applyNumberFormat="1" applyFont="1" applyFill="1" applyBorder="1"/>
    <xf numFmtId="165" fontId="0" fillId="3" borderId="1" xfId="0" applyNumberFormat="1" applyFill="1" applyBorder="1"/>
    <xf numFmtId="9" fontId="0" fillId="0" borderId="0" xfId="0" applyNumberFormat="1"/>
    <xf numFmtId="9" fontId="0" fillId="2" borderId="0" xfId="0" applyNumberFormat="1" applyFill="1"/>
    <xf numFmtId="165" fontId="0" fillId="2" borderId="0" xfId="0" applyNumberFormat="1" applyFill="1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165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6B3EE-9516-40E6-B637-B69F5889A069}">
  <dimension ref="A1:Q27"/>
  <sheetViews>
    <sheetView workbookViewId="0">
      <selection activeCell="P22" sqref="P22"/>
    </sheetView>
  </sheetViews>
  <sheetFormatPr defaultRowHeight="14.4" x14ac:dyDescent="0.3"/>
  <sheetData>
    <row r="1" spans="1:17" x14ac:dyDescent="0.3">
      <c r="A1" s="5" t="s">
        <v>40</v>
      </c>
      <c r="E1" s="7" t="s">
        <v>29</v>
      </c>
      <c r="F1" s="7"/>
      <c r="I1" s="5" t="s">
        <v>42</v>
      </c>
      <c r="J1" s="5"/>
      <c r="O1" s="6" t="s">
        <v>43</v>
      </c>
      <c r="Q1" t="s">
        <v>44</v>
      </c>
    </row>
    <row r="2" spans="1:17" x14ac:dyDescent="0.3">
      <c r="A2" s="1" t="s">
        <v>6</v>
      </c>
      <c r="B2" s="1">
        <v>0.98399999999999999</v>
      </c>
      <c r="E2" s="1" t="s">
        <v>6</v>
      </c>
      <c r="F2" s="2">
        <v>0.998</v>
      </c>
      <c r="I2" s="1" t="s">
        <v>6</v>
      </c>
      <c r="J2" s="2">
        <v>0.97552166934189399</v>
      </c>
      <c r="K2" s="1">
        <v>0.97752808988764095</v>
      </c>
      <c r="L2" s="1">
        <v>0.98234349919743202</v>
      </c>
      <c r="M2" s="1">
        <v>0.96629213483146104</v>
      </c>
      <c r="N2" s="1">
        <v>0.98113964686998401</v>
      </c>
      <c r="O2" s="10">
        <f>AVERAGE(J2:N2)</f>
        <v>0.97656500802568247</v>
      </c>
      <c r="Q2" s="3">
        <f>B2-O2</f>
        <v>7.4349919743175175E-3</v>
      </c>
    </row>
    <row r="3" spans="1:17" x14ac:dyDescent="0.3">
      <c r="A3" s="1" t="s">
        <v>7</v>
      </c>
      <c r="B3" s="1">
        <v>0.89800000000000002</v>
      </c>
      <c r="E3" s="1" t="s">
        <v>7</v>
      </c>
      <c r="F3" s="2">
        <v>0.96700000000000008</v>
      </c>
      <c r="I3" s="1" t="s">
        <v>7</v>
      </c>
      <c r="J3" s="2">
        <v>0.91311612364243899</v>
      </c>
      <c r="K3" s="1">
        <v>0.89724310776942395</v>
      </c>
      <c r="L3" s="1">
        <v>0.88220551378446099</v>
      </c>
      <c r="M3" s="1">
        <v>0.89390142021720997</v>
      </c>
      <c r="N3" s="1">
        <v>0.87969924812030098</v>
      </c>
      <c r="O3" s="10">
        <f t="shared" ref="O3:O16" si="0">AVERAGE(J3:N3)</f>
        <v>0.89323308270676693</v>
      </c>
      <c r="Q3" s="3">
        <f t="shared" ref="Q3:Q17" si="1">B3-O3</f>
        <v>4.7669172932330861E-3</v>
      </c>
    </row>
    <row r="4" spans="1:17" x14ac:dyDescent="0.3">
      <c r="A4" s="1" t="s">
        <v>8</v>
      </c>
      <c r="B4" s="1">
        <v>0.98799999999999999</v>
      </c>
      <c r="E4" s="1" t="s">
        <v>8</v>
      </c>
      <c r="F4" s="2">
        <v>1</v>
      </c>
      <c r="I4" s="1" t="s">
        <v>8</v>
      </c>
      <c r="J4" s="2">
        <v>0.99932065217391297</v>
      </c>
      <c r="K4" s="1">
        <v>1</v>
      </c>
      <c r="L4" s="1">
        <v>0.99864130434782605</v>
      </c>
      <c r="M4" s="1">
        <v>0.99762228260869601</v>
      </c>
      <c r="N4" s="1">
        <v>0.99898097826086996</v>
      </c>
      <c r="O4" s="10">
        <f t="shared" si="0"/>
        <v>0.99891304347826115</v>
      </c>
      <c r="Q4" s="3">
        <f t="shared" si="1"/>
        <v>-1.0913043478261164E-2</v>
      </c>
    </row>
    <row r="5" spans="1:17" x14ac:dyDescent="0.3">
      <c r="A5" s="1" t="s">
        <v>9</v>
      </c>
      <c r="B5" s="1">
        <v>0.95899999999999996</v>
      </c>
      <c r="E5" s="1" t="s">
        <v>9</v>
      </c>
      <c r="F5" s="2">
        <v>0.98099999999999998</v>
      </c>
      <c r="I5" s="1" t="s">
        <v>9</v>
      </c>
      <c r="J5" s="2">
        <v>0.91738816738816698</v>
      </c>
      <c r="K5" s="1">
        <v>0.92099567099567103</v>
      </c>
      <c r="L5" s="1">
        <v>0.89393939393939403</v>
      </c>
      <c r="M5" s="1">
        <v>0.89033189033188997</v>
      </c>
      <c r="N5" s="1">
        <v>0.91847041847041799</v>
      </c>
      <c r="O5" s="10">
        <f t="shared" si="0"/>
        <v>0.90822510822510805</v>
      </c>
      <c r="Q5" s="3">
        <f t="shared" si="1"/>
        <v>5.0774891774891917E-2</v>
      </c>
    </row>
    <row r="6" spans="1:17" x14ac:dyDescent="0.3">
      <c r="A6" s="1" t="s">
        <v>10</v>
      </c>
      <c r="B6" s="1">
        <v>0.99</v>
      </c>
      <c r="E6" s="1" t="s">
        <v>10</v>
      </c>
      <c r="F6" s="2">
        <v>0.99199999999999999</v>
      </c>
      <c r="I6" s="1" t="s">
        <v>10</v>
      </c>
      <c r="J6" s="2">
        <v>0.95789473684210502</v>
      </c>
      <c r="K6" s="1">
        <v>0.94561403508771902</v>
      </c>
      <c r="L6" s="1">
        <v>0.95877192982456205</v>
      </c>
      <c r="M6" s="1">
        <v>0.92894736842105297</v>
      </c>
      <c r="N6" s="1">
        <v>0.96228070175438596</v>
      </c>
      <c r="O6" s="10">
        <f t="shared" si="0"/>
        <v>0.95070175438596505</v>
      </c>
      <c r="Q6" s="3">
        <f t="shared" si="1"/>
        <v>3.9298245614034943E-2</v>
      </c>
    </row>
    <row r="7" spans="1:17" x14ac:dyDescent="0.3">
      <c r="A7" s="1" t="s">
        <v>11</v>
      </c>
      <c r="B7" s="1">
        <v>0.996</v>
      </c>
      <c r="E7" s="1" t="s">
        <v>11</v>
      </c>
      <c r="F7" s="2">
        <v>0.99099999999999999</v>
      </c>
      <c r="I7" s="1" t="s">
        <v>11</v>
      </c>
      <c r="J7" s="2">
        <v>0.99682539682539695</v>
      </c>
      <c r="K7" s="1">
        <v>0.99682539682539695</v>
      </c>
      <c r="L7" s="1">
        <v>0.99444444444444502</v>
      </c>
      <c r="M7" s="1">
        <v>0.99365079365079401</v>
      </c>
      <c r="N7" s="1">
        <v>0.99365079365079401</v>
      </c>
      <c r="O7" s="10">
        <f t="shared" si="0"/>
        <v>0.99507936507936545</v>
      </c>
      <c r="Q7" s="3">
        <f t="shared" si="1"/>
        <v>9.2063492063454433E-4</v>
      </c>
    </row>
    <row r="8" spans="1:17" x14ac:dyDescent="0.3">
      <c r="A8" s="1" t="s">
        <v>12</v>
      </c>
      <c r="B8" s="1">
        <v>0.85499999999999998</v>
      </c>
      <c r="E8" s="1" t="s">
        <v>12</v>
      </c>
      <c r="F8" s="2">
        <v>0.97099999999999997</v>
      </c>
      <c r="I8" s="1" t="s">
        <v>12</v>
      </c>
      <c r="J8" s="2">
        <v>0.92035232383808097</v>
      </c>
      <c r="K8" s="1">
        <v>0.89786356821589197</v>
      </c>
      <c r="L8" s="1">
        <v>0.90742128935532196</v>
      </c>
      <c r="M8" s="1">
        <v>0.91473013493253397</v>
      </c>
      <c r="N8" s="1">
        <v>0.90798350824587704</v>
      </c>
      <c r="O8" s="10">
        <f t="shared" si="0"/>
        <v>0.90967016491754116</v>
      </c>
      <c r="Q8" s="3">
        <f t="shared" si="1"/>
        <v>-5.4670164917541175E-2</v>
      </c>
    </row>
    <row r="9" spans="1:17" x14ac:dyDescent="0.3">
      <c r="A9" s="1" t="s">
        <v>13</v>
      </c>
      <c r="B9" s="1">
        <v>0.87</v>
      </c>
      <c r="E9" s="1" t="s">
        <v>13</v>
      </c>
      <c r="F9" s="2">
        <v>0.875</v>
      </c>
      <c r="I9" s="1" t="s">
        <v>13</v>
      </c>
      <c r="J9" s="2">
        <v>0.83207020343039495</v>
      </c>
      <c r="K9" s="1">
        <v>0.84044674910251305</v>
      </c>
      <c r="L9" s="1">
        <v>0.83925009972078202</v>
      </c>
      <c r="M9" s="1">
        <v>0.84164339848424397</v>
      </c>
      <c r="N9" s="1">
        <v>0.81771041084962104</v>
      </c>
      <c r="O9" s="10">
        <f t="shared" si="0"/>
        <v>0.834224172317511</v>
      </c>
      <c r="Q9" s="3">
        <f t="shared" si="1"/>
        <v>3.5775827682488992E-2</v>
      </c>
    </row>
    <row r="10" spans="1:17" x14ac:dyDescent="0.3">
      <c r="A10" s="1" t="s">
        <v>30</v>
      </c>
      <c r="B10" s="1">
        <v>0.84099999999999997</v>
      </c>
      <c r="E10" s="1" t="s">
        <v>14</v>
      </c>
      <c r="F10" s="2">
        <v>0.99400000000000011</v>
      </c>
      <c r="I10" s="1" t="s">
        <v>14</v>
      </c>
      <c r="J10" s="2">
        <v>0.85</v>
      </c>
      <c r="K10" s="1">
        <v>0.83821428571428602</v>
      </c>
      <c r="L10" s="1">
        <v>0.84107142857142903</v>
      </c>
      <c r="M10" s="1">
        <v>0.87178571428571405</v>
      </c>
      <c r="N10" s="1">
        <v>0.88249999999999995</v>
      </c>
      <c r="O10" s="10">
        <f t="shared" si="0"/>
        <v>0.85671428571428587</v>
      </c>
      <c r="Q10" s="3">
        <f t="shared" si="1"/>
        <v>-1.5714285714285903E-2</v>
      </c>
    </row>
    <row r="11" spans="1:17" x14ac:dyDescent="0.3">
      <c r="A11" s="1" t="s">
        <v>31</v>
      </c>
      <c r="B11" s="1">
        <v>0.97399999999999998</v>
      </c>
      <c r="E11" s="1" t="s">
        <v>15</v>
      </c>
      <c r="F11" s="2">
        <v>0.96200000000000008</v>
      </c>
      <c r="I11" s="1" t="s">
        <v>15</v>
      </c>
      <c r="J11" s="2">
        <v>0.99706744868035202</v>
      </c>
      <c r="K11" s="1">
        <v>0.99560117302052797</v>
      </c>
      <c r="L11" s="1">
        <v>0.99169110459432996</v>
      </c>
      <c r="M11" s="1">
        <v>0.99315738025415501</v>
      </c>
      <c r="N11" s="1">
        <v>0.98631476050830902</v>
      </c>
      <c r="O11" s="10">
        <f t="shared" si="0"/>
        <v>0.99276637341153484</v>
      </c>
      <c r="Q11" s="3">
        <f t="shared" si="1"/>
        <v>-1.8766373411534865E-2</v>
      </c>
    </row>
    <row r="12" spans="1:17" x14ac:dyDescent="0.3">
      <c r="A12" s="1" t="s">
        <v>32</v>
      </c>
      <c r="B12" s="1">
        <v>0.86899999999999999</v>
      </c>
      <c r="E12" s="1" t="s">
        <v>16</v>
      </c>
      <c r="F12" s="2">
        <v>0.90099999999999991</v>
      </c>
      <c r="I12" s="1" t="s">
        <v>16</v>
      </c>
      <c r="J12" s="2">
        <v>0.76077468630660094</v>
      </c>
      <c r="K12" s="1">
        <v>0.77550463720676499</v>
      </c>
      <c r="L12" s="1">
        <v>0.77932351336606698</v>
      </c>
      <c r="M12" s="1">
        <v>0.76432078559738104</v>
      </c>
      <c r="N12" s="1">
        <v>0.72285870158210597</v>
      </c>
      <c r="O12" s="10">
        <f t="shared" si="0"/>
        <v>0.76055646481178396</v>
      </c>
      <c r="Q12" s="11">
        <f t="shared" si="1"/>
        <v>0.10844353518821603</v>
      </c>
    </row>
    <row r="13" spans="1:17" x14ac:dyDescent="0.3">
      <c r="A13" s="1" t="s">
        <v>17</v>
      </c>
      <c r="B13" s="1">
        <v>0.745</v>
      </c>
      <c r="E13" s="1" t="s">
        <v>17</v>
      </c>
      <c r="F13" s="2">
        <v>0.97499999999999998</v>
      </c>
      <c r="I13" s="1" t="s">
        <v>17</v>
      </c>
      <c r="J13" s="2">
        <v>0.63599098175855695</v>
      </c>
      <c r="K13" s="1">
        <v>0.65874154539864704</v>
      </c>
      <c r="L13" s="1">
        <v>0.657306825169092</v>
      </c>
      <c r="M13" s="1">
        <v>0.64541914326706296</v>
      </c>
      <c r="N13" s="1">
        <v>0.65710186513629798</v>
      </c>
      <c r="O13" s="10">
        <f t="shared" si="0"/>
        <v>0.65091207214593139</v>
      </c>
      <c r="Q13" s="11">
        <f t="shared" si="1"/>
        <v>9.4087927854068609E-2</v>
      </c>
    </row>
    <row r="14" spans="1:17" x14ac:dyDescent="0.3">
      <c r="A14" s="1" t="s">
        <v>18</v>
      </c>
      <c r="B14" s="1">
        <v>0.94699999999999995</v>
      </c>
      <c r="E14" s="1" t="s">
        <v>18</v>
      </c>
      <c r="F14" s="2">
        <v>1</v>
      </c>
      <c r="I14" s="1" t="s">
        <v>18</v>
      </c>
      <c r="J14" s="2">
        <v>0.98888888888888904</v>
      </c>
      <c r="K14" s="1">
        <v>0.97777777777777797</v>
      </c>
      <c r="L14" s="1">
        <v>0.96666666666666701</v>
      </c>
      <c r="M14" s="1">
        <v>0.99166666666666703</v>
      </c>
      <c r="N14" s="1">
        <v>0.99166666666666703</v>
      </c>
      <c r="O14" s="10">
        <f t="shared" si="0"/>
        <v>0.98333333333333361</v>
      </c>
      <c r="Q14" s="3">
        <f t="shared" si="1"/>
        <v>-3.6333333333333662E-2</v>
      </c>
    </row>
    <row r="15" spans="1:17" x14ac:dyDescent="0.3">
      <c r="A15" s="1" t="s">
        <v>19</v>
      </c>
      <c r="B15" s="1">
        <v>0.92500000000000004</v>
      </c>
      <c r="E15" s="1" t="s">
        <v>19</v>
      </c>
      <c r="F15" s="2">
        <v>0.94400000000000006</v>
      </c>
      <c r="I15" s="1" t="s">
        <v>19</v>
      </c>
      <c r="J15" s="2">
        <v>0.96375</v>
      </c>
      <c r="K15" s="1">
        <v>0.96416666666666695</v>
      </c>
      <c r="L15" s="1">
        <v>0.96791666666666698</v>
      </c>
      <c r="M15" s="1">
        <v>0.97416666666666696</v>
      </c>
      <c r="N15" s="1">
        <v>0.961666666666667</v>
      </c>
      <c r="O15" s="10">
        <f t="shared" si="0"/>
        <v>0.9663333333333336</v>
      </c>
      <c r="Q15" s="3">
        <f t="shared" si="1"/>
        <v>-4.1333333333333555E-2</v>
      </c>
    </row>
    <row r="16" spans="1:17" x14ac:dyDescent="0.3">
      <c r="A16" s="1" t="s">
        <v>20</v>
      </c>
      <c r="B16" s="1">
        <v>0.74099999999999999</v>
      </c>
      <c r="E16" s="1" t="s">
        <v>20</v>
      </c>
      <c r="F16" s="2">
        <v>0.98599999999999999</v>
      </c>
      <c r="I16" s="1" t="s">
        <v>20</v>
      </c>
      <c r="J16" s="2">
        <v>0.933298319327731</v>
      </c>
      <c r="K16" s="1">
        <v>0.94038865546218497</v>
      </c>
      <c r="L16" s="1">
        <v>0.91964285714285698</v>
      </c>
      <c r="M16" s="1">
        <v>0.94117647058823495</v>
      </c>
      <c r="N16" s="1">
        <v>0.91675420168067201</v>
      </c>
      <c r="O16" s="10">
        <f t="shared" si="0"/>
        <v>0.93025210084033605</v>
      </c>
      <c r="Q16" s="11">
        <f t="shared" si="1"/>
        <v>-0.18925210084033606</v>
      </c>
    </row>
    <row r="17" spans="1:17" x14ac:dyDescent="0.3">
      <c r="A17" s="1" t="s">
        <v>21</v>
      </c>
      <c r="B17" s="2">
        <f>AVERAGE(B2:B16)</f>
        <v>0.90546666666666664</v>
      </c>
      <c r="E17" s="1" t="s">
        <v>21</v>
      </c>
      <c r="F17" s="2">
        <f>AVERAGE(F2:F16)</f>
        <v>0.9691333333333334</v>
      </c>
      <c r="I17" s="8" t="s">
        <v>21</v>
      </c>
      <c r="J17" s="9">
        <f>AVERAGE(J2:J16)</f>
        <v>0.9094839732296347</v>
      </c>
      <c r="K17" s="9">
        <f t="shared" ref="K17:O17" si="2">AVERAGE(K2:K16)</f>
        <v>0.90846075727540765</v>
      </c>
      <c r="L17" s="9">
        <f t="shared" si="2"/>
        <v>0.90537576911942241</v>
      </c>
      <c r="M17" s="9">
        <f t="shared" si="2"/>
        <v>0.90725415005358423</v>
      </c>
      <c r="N17" s="9">
        <f t="shared" si="2"/>
        <v>0.90525190456419802</v>
      </c>
      <c r="O17" s="10">
        <f t="shared" si="2"/>
        <v>0.90716531084844931</v>
      </c>
      <c r="Q17" s="3">
        <f t="shared" si="1"/>
        <v>-1.6986441817826714E-3</v>
      </c>
    </row>
    <row r="21" spans="1:17" x14ac:dyDescent="0.3">
      <c r="I21" s="5" t="s">
        <v>41</v>
      </c>
    </row>
    <row r="22" spans="1:17" x14ac:dyDescent="0.3">
      <c r="I22" t="s">
        <v>33</v>
      </c>
      <c r="J22" t="s">
        <v>34</v>
      </c>
      <c r="K22">
        <v>0.89</v>
      </c>
    </row>
    <row r="23" spans="1:17" x14ac:dyDescent="0.3">
      <c r="J23" t="s">
        <v>35</v>
      </c>
      <c r="K23">
        <v>0.9</v>
      </c>
    </row>
    <row r="24" spans="1:17" x14ac:dyDescent="0.3">
      <c r="J24" t="s">
        <v>36</v>
      </c>
      <c r="K24">
        <v>0.9</v>
      </c>
    </row>
    <row r="25" spans="1:17" x14ac:dyDescent="0.3">
      <c r="J25" t="s">
        <v>37</v>
      </c>
      <c r="K25">
        <v>0.89</v>
      </c>
    </row>
    <row r="26" spans="1:17" x14ac:dyDescent="0.3">
      <c r="J26" t="s">
        <v>38</v>
      </c>
      <c r="K26">
        <v>0.89</v>
      </c>
    </row>
    <row r="27" spans="1:17" x14ac:dyDescent="0.3">
      <c r="I27" s="5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42"/>
  <sheetViews>
    <sheetView topLeftCell="AS1" workbookViewId="0">
      <selection activeCell="BJ8" sqref="BJ8:BJ16"/>
    </sheetView>
  </sheetViews>
  <sheetFormatPr defaultRowHeight="14.4" x14ac:dyDescent="0.3"/>
  <cols>
    <col min="1" max="1" width="13.21875" bestFit="1" customWidth="1"/>
    <col min="2" max="2" width="20.6640625" customWidth="1"/>
    <col min="3" max="3" width="15" bestFit="1" customWidth="1"/>
    <col min="4" max="4" width="7" customWidth="1"/>
    <col min="5" max="5" width="13.21875" bestFit="1" customWidth="1"/>
    <col min="11" max="15" width="9.21875" customWidth="1"/>
    <col min="34" max="34" width="13.77734375" customWidth="1"/>
  </cols>
  <sheetData>
    <row r="1" spans="1:60" x14ac:dyDescent="0.3">
      <c r="A1" t="s">
        <v>0</v>
      </c>
      <c r="B1" t="s">
        <v>47</v>
      </c>
      <c r="C1" t="s">
        <v>22</v>
      </c>
      <c r="E1" t="s">
        <v>0</v>
      </c>
      <c r="F1" t="s">
        <v>47</v>
      </c>
      <c r="G1" t="s">
        <v>22</v>
      </c>
      <c r="I1" t="s">
        <v>0</v>
      </c>
      <c r="J1" t="s">
        <v>47</v>
      </c>
      <c r="K1" t="s">
        <v>22</v>
      </c>
      <c r="M1" t="s">
        <v>0</v>
      </c>
      <c r="N1" t="s">
        <v>47</v>
      </c>
      <c r="O1" t="s">
        <v>22</v>
      </c>
      <c r="Q1" t="s">
        <v>0</v>
      </c>
      <c r="R1" t="s">
        <v>48</v>
      </c>
      <c r="S1" t="s">
        <v>22</v>
      </c>
      <c r="U1" t="s">
        <v>0</v>
      </c>
      <c r="V1" t="s">
        <v>49</v>
      </c>
      <c r="W1" t="s">
        <v>22</v>
      </c>
      <c r="Y1" t="s">
        <v>0</v>
      </c>
      <c r="Z1" t="s">
        <v>51</v>
      </c>
      <c r="AA1" t="s">
        <v>22</v>
      </c>
      <c r="AC1" t="s">
        <v>0</v>
      </c>
      <c r="AD1" t="s">
        <v>52</v>
      </c>
      <c r="AE1" t="s">
        <v>22</v>
      </c>
      <c r="AG1" t="s">
        <v>0</v>
      </c>
      <c r="AH1" t="s">
        <v>1</v>
      </c>
      <c r="AI1" t="s">
        <v>22</v>
      </c>
      <c r="AK1" t="s">
        <v>0</v>
      </c>
      <c r="AL1" t="s">
        <v>1</v>
      </c>
      <c r="AM1" t="s">
        <v>22</v>
      </c>
      <c r="AO1" t="s">
        <v>0</v>
      </c>
      <c r="AP1" t="s">
        <v>1</v>
      </c>
      <c r="AQ1" t="s">
        <v>22</v>
      </c>
      <c r="AS1" t="s">
        <v>0</v>
      </c>
      <c r="AT1" t="s">
        <v>27</v>
      </c>
      <c r="AU1" t="s">
        <v>22</v>
      </c>
      <c r="AW1" t="s">
        <v>0</v>
      </c>
      <c r="AX1" t="s">
        <v>28</v>
      </c>
      <c r="AY1" t="s">
        <v>22</v>
      </c>
      <c r="BA1" t="s">
        <v>0</v>
      </c>
      <c r="BB1" t="s">
        <v>28</v>
      </c>
      <c r="BC1" t="s">
        <v>22</v>
      </c>
      <c r="BE1" t="s">
        <v>0</v>
      </c>
      <c r="BF1" t="s">
        <v>28</v>
      </c>
      <c r="BG1" t="s">
        <v>22</v>
      </c>
      <c r="BH1" t="s">
        <v>53</v>
      </c>
    </row>
    <row r="2" spans="1:60" x14ac:dyDescent="0.3">
      <c r="A2" t="s">
        <v>2</v>
      </c>
      <c r="B2">
        <v>100</v>
      </c>
      <c r="C2" t="s">
        <v>46</v>
      </c>
      <c r="E2" t="s">
        <v>2</v>
      </c>
      <c r="F2">
        <v>192</v>
      </c>
      <c r="G2" t="s">
        <v>23</v>
      </c>
      <c r="I2" t="s">
        <v>2</v>
      </c>
      <c r="J2">
        <v>192</v>
      </c>
      <c r="K2" t="s">
        <v>23</v>
      </c>
      <c r="M2" t="s">
        <v>2</v>
      </c>
      <c r="N2">
        <v>192</v>
      </c>
      <c r="O2" t="s">
        <v>23</v>
      </c>
      <c r="Q2" t="s">
        <v>2</v>
      </c>
      <c r="R2">
        <v>256</v>
      </c>
      <c r="S2" t="s">
        <v>45</v>
      </c>
      <c r="U2" t="s">
        <v>2</v>
      </c>
      <c r="V2">
        <v>256</v>
      </c>
      <c r="W2" t="s">
        <v>45</v>
      </c>
      <c r="Y2" t="s">
        <v>2</v>
      </c>
      <c r="Z2">
        <v>128</v>
      </c>
      <c r="AA2" t="s">
        <v>45</v>
      </c>
      <c r="AC2" t="s">
        <v>2</v>
      </c>
      <c r="AD2">
        <v>128</v>
      </c>
      <c r="AE2" t="s">
        <v>45</v>
      </c>
      <c r="AG2" t="s">
        <v>2</v>
      </c>
      <c r="AH2">
        <v>256</v>
      </c>
      <c r="AI2" t="s">
        <v>24</v>
      </c>
      <c r="AK2" t="s">
        <v>2</v>
      </c>
      <c r="AL2">
        <v>128</v>
      </c>
      <c r="AM2" t="s">
        <v>25</v>
      </c>
      <c r="AO2" t="s">
        <v>2</v>
      </c>
      <c r="AP2">
        <v>128</v>
      </c>
      <c r="AQ2" t="s">
        <v>25</v>
      </c>
      <c r="AS2" t="s">
        <v>2</v>
      </c>
      <c r="AT2">
        <v>192</v>
      </c>
      <c r="AU2" t="s">
        <v>23</v>
      </c>
      <c r="AW2" t="s">
        <v>2</v>
      </c>
      <c r="AX2">
        <v>256</v>
      </c>
      <c r="AY2" t="s">
        <v>23</v>
      </c>
      <c r="BA2" t="s">
        <v>2</v>
      </c>
      <c r="BB2">
        <v>256</v>
      </c>
      <c r="BC2" t="s">
        <v>23</v>
      </c>
      <c r="BE2" t="s">
        <v>2</v>
      </c>
      <c r="BF2">
        <v>512</v>
      </c>
      <c r="BG2" t="s">
        <v>45</v>
      </c>
    </row>
    <row r="3" spans="1:60" x14ac:dyDescent="0.3">
      <c r="A3" t="s">
        <v>3</v>
      </c>
      <c r="B3">
        <v>227</v>
      </c>
      <c r="E3" t="s">
        <v>3</v>
      </c>
      <c r="F3">
        <v>227</v>
      </c>
      <c r="I3" t="s">
        <v>3</v>
      </c>
      <c r="J3">
        <v>512</v>
      </c>
      <c r="M3" t="s">
        <v>3</v>
      </c>
      <c r="N3">
        <v>224</v>
      </c>
      <c r="Q3" t="s">
        <v>3</v>
      </c>
      <c r="R3">
        <v>224</v>
      </c>
      <c r="U3" t="s">
        <v>3</v>
      </c>
      <c r="V3">
        <v>224</v>
      </c>
      <c r="Y3" t="s">
        <v>3</v>
      </c>
      <c r="Z3">
        <v>224</v>
      </c>
      <c r="AC3" t="s">
        <v>3</v>
      </c>
      <c r="AD3">
        <v>224</v>
      </c>
      <c r="AG3" t="s">
        <v>3</v>
      </c>
      <c r="AH3">
        <v>224</v>
      </c>
      <c r="AK3" t="s">
        <v>3</v>
      </c>
      <c r="AL3">
        <v>224</v>
      </c>
      <c r="AO3" t="s">
        <v>3</v>
      </c>
      <c r="AP3">
        <v>224</v>
      </c>
      <c r="AS3" t="s">
        <v>3</v>
      </c>
      <c r="AT3">
        <v>224</v>
      </c>
      <c r="AW3" t="s">
        <v>3</v>
      </c>
      <c r="AX3">
        <v>224</v>
      </c>
      <c r="BA3" t="s">
        <v>3</v>
      </c>
      <c r="BB3">
        <v>227</v>
      </c>
      <c r="BE3" t="s">
        <v>3</v>
      </c>
      <c r="BF3">
        <v>227</v>
      </c>
    </row>
    <row r="4" spans="1:60" x14ac:dyDescent="0.3">
      <c r="A4" t="s">
        <v>4</v>
      </c>
      <c r="B4" t="s">
        <v>5</v>
      </c>
      <c r="E4" t="s">
        <v>4</v>
      </c>
      <c r="F4" t="s">
        <v>5</v>
      </c>
      <c r="I4" t="s">
        <v>4</v>
      </c>
      <c r="J4" t="s">
        <v>5</v>
      </c>
      <c r="M4" t="s">
        <v>4</v>
      </c>
      <c r="N4" t="s">
        <v>5</v>
      </c>
      <c r="Q4" t="s">
        <v>4</v>
      </c>
      <c r="R4" t="s">
        <v>5</v>
      </c>
      <c r="U4" t="s">
        <v>4</v>
      </c>
      <c r="V4" t="s">
        <v>5</v>
      </c>
      <c r="Y4" t="s">
        <v>4</v>
      </c>
      <c r="Z4" t="s">
        <v>5</v>
      </c>
      <c r="AC4" t="s">
        <v>4</v>
      </c>
      <c r="AD4" t="s">
        <v>5</v>
      </c>
      <c r="AG4" t="s">
        <v>4</v>
      </c>
      <c r="AH4" t="s">
        <v>5</v>
      </c>
      <c r="AK4" t="s">
        <v>4</v>
      </c>
      <c r="AL4" t="s">
        <v>5</v>
      </c>
      <c r="AO4" t="s">
        <v>4</v>
      </c>
      <c r="AP4" t="s">
        <v>5</v>
      </c>
      <c r="AS4" t="s">
        <v>4</v>
      </c>
      <c r="AT4" t="s">
        <v>5</v>
      </c>
      <c r="AW4" t="s">
        <v>4</v>
      </c>
      <c r="AX4" t="s">
        <v>5</v>
      </c>
      <c r="BA4" t="s">
        <v>4</v>
      </c>
      <c r="BB4" t="s">
        <v>5</v>
      </c>
      <c r="BE4" t="s">
        <v>4</v>
      </c>
      <c r="BF4" t="s">
        <v>5</v>
      </c>
    </row>
    <row r="5" spans="1:60" x14ac:dyDescent="0.3">
      <c r="A5" t="s">
        <v>26</v>
      </c>
      <c r="B5">
        <v>0.01</v>
      </c>
      <c r="E5" t="s">
        <v>26</v>
      </c>
      <c r="F5">
        <v>0.01</v>
      </c>
      <c r="I5" t="s">
        <v>26</v>
      </c>
      <c r="J5">
        <v>0.01</v>
      </c>
      <c r="M5" t="s">
        <v>26</v>
      </c>
      <c r="N5">
        <v>0.01</v>
      </c>
      <c r="Q5" t="s">
        <v>26</v>
      </c>
      <c r="R5">
        <v>0.01</v>
      </c>
      <c r="U5" t="s">
        <v>26</v>
      </c>
      <c r="V5">
        <v>0.01</v>
      </c>
      <c r="Y5" t="s">
        <v>26</v>
      </c>
      <c r="Z5">
        <v>0.01</v>
      </c>
      <c r="AC5" t="s">
        <v>26</v>
      </c>
      <c r="AD5">
        <v>0.01</v>
      </c>
      <c r="AG5" t="s">
        <v>26</v>
      </c>
      <c r="AH5">
        <v>0.01</v>
      </c>
      <c r="AK5" t="s">
        <v>26</v>
      </c>
      <c r="AL5">
        <v>1E-3</v>
      </c>
      <c r="AO5" t="s">
        <v>26</v>
      </c>
      <c r="AP5">
        <v>0.01</v>
      </c>
      <c r="AS5" t="s">
        <v>26</v>
      </c>
      <c r="AT5">
        <v>0.01</v>
      </c>
      <c r="AW5" t="s">
        <v>26</v>
      </c>
      <c r="AX5">
        <v>0.01</v>
      </c>
      <c r="BA5" t="s">
        <v>26</v>
      </c>
      <c r="BB5">
        <v>0.01</v>
      </c>
      <c r="BE5" t="s">
        <v>26</v>
      </c>
      <c r="BF5">
        <v>0.01</v>
      </c>
    </row>
    <row r="8" spans="1:60" x14ac:dyDescent="0.3">
      <c r="A8" s="1" t="s">
        <v>6</v>
      </c>
      <c r="B8" s="2">
        <v>0.87118780096308202</v>
      </c>
      <c r="C8" s="3"/>
      <c r="F8">
        <v>0.86195826645264895</v>
      </c>
      <c r="K8">
        <v>0.88884430176564999</v>
      </c>
      <c r="O8">
        <v>0.84269662921348298</v>
      </c>
      <c r="S8">
        <v>0.94462279293740004</v>
      </c>
      <c r="W8">
        <v>0.94662921348314599</v>
      </c>
      <c r="AA8">
        <v>0.81460674157303403</v>
      </c>
      <c r="AE8">
        <v>0.95264847512038497</v>
      </c>
      <c r="AH8">
        <v>0.87841091492776902</v>
      </c>
      <c r="AL8">
        <v>0.82544141252006398</v>
      </c>
      <c r="AP8">
        <v>0.84028892455858695</v>
      </c>
      <c r="AT8">
        <v>0.87680577849117203</v>
      </c>
      <c r="AX8">
        <v>0.88202247191011196</v>
      </c>
      <c r="AZ8" s="3"/>
      <c r="BB8">
        <v>0.89646869983948596</v>
      </c>
      <c r="BD8" s="3"/>
      <c r="BE8">
        <v>0.90409309791332304</v>
      </c>
      <c r="BH8" s="3">
        <f>MAX(B8:BF8)</f>
        <v>0.95264847512038497</v>
      </c>
    </row>
    <row r="9" spans="1:60" x14ac:dyDescent="0.3">
      <c r="A9" s="1" t="s">
        <v>7</v>
      </c>
      <c r="B9" s="2">
        <v>0.79949874686716804</v>
      </c>
      <c r="C9" s="3"/>
      <c r="F9">
        <v>0.72932330827067704</v>
      </c>
      <c r="K9">
        <v>0.73851294903926501</v>
      </c>
      <c r="O9">
        <v>0.73433583959899795</v>
      </c>
      <c r="S9">
        <v>0.82623224728487898</v>
      </c>
      <c r="W9">
        <v>0.66666666666666696</v>
      </c>
      <c r="AA9">
        <v>0.38847117794486202</v>
      </c>
      <c r="AE9">
        <v>0.31578947368421101</v>
      </c>
      <c r="AH9">
        <v>0.88137009189640803</v>
      </c>
      <c r="AL9">
        <v>0.82790309106098603</v>
      </c>
      <c r="AP9">
        <v>0.86131996658312504</v>
      </c>
      <c r="AT9">
        <v>0.88053467000835395</v>
      </c>
      <c r="AX9">
        <v>0.75772765246449503</v>
      </c>
      <c r="AZ9" s="3"/>
      <c r="BB9">
        <v>0.71846282372598202</v>
      </c>
      <c r="BD9" s="3"/>
      <c r="BE9">
        <v>0.68170426065162903</v>
      </c>
      <c r="BH9" s="3">
        <f t="shared" ref="BH9:BH22" si="0">MAX(B9:BF9)</f>
        <v>0.88137009189640803</v>
      </c>
    </row>
    <row r="10" spans="1:60" x14ac:dyDescent="0.3">
      <c r="A10" s="1" t="s">
        <v>8</v>
      </c>
      <c r="B10" s="2">
        <v>0.96263586956521696</v>
      </c>
      <c r="C10" s="3"/>
      <c r="F10">
        <v>0.97418478260869601</v>
      </c>
      <c r="K10">
        <v>0.89911684782608703</v>
      </c>
      <c r="O10">
        <v>0.96671195652173902</v>
      </c>
      <c r="S10">
        <v>0.98811141304347805</v>
      </c>
      <c r="W10">
        <v>0.95889945652173902</v>
      </c>
      <c r="AA10">
        <v>0.92051630434782605</v>
      </c>
      <c r="AE10">
        <v>0.84205163043478304</v>
      </c>
      <c r="AH10">
        <v>0.981657608695652</v>
      </c>
      <c r="AL10">
        <v>0.97520380434782605</v>
      </c>
      <c r="AP10">
        <v>0.98063858695652195</v>
      </c>
      <c r="AT10">
        <v>0.98063858695652195</v>
      </c>
      <c r="AX10">
        <v>0.97180706521739102</v>
      </c>
      <c r="AZ10" s="3"/>
      <c r="BB10">
        <v>0.97758152173913004</v>
      </c>
      <c r="BD10" s="3"/>
      <c r="BE10">
        <v>0.98403532608695699</v>
      </c>
      <c r="BH10" s="3">
        <f t="shared" si="0"/>
        <v>0.98811141304347805</v>
      </c>
    </row>
    <row r="11" spans="1:60" x14ac:dyDescent="0.3">
      <c r="A11" s="1" t="s">
        <v>9</v>
      </c>
      <c r="B11" s="2">
        <v>0.88636363636363602</v>
      </c>
      <c r="C11" s="3"/>
      <c r="F11">
        <v>0.94877344877344905</v>
      </c>
      <c r="K11">
        <v>0.91666666666666696</v>
      </c>
      <c r="O11">
        <v>0.95165945165945198</v>
      </c>
      <c r="S11">
        <v>0.94805194805194803</v>
      </c>
      <c r="W11">
        <v>0.96969696969696995</v>
      </c>
      <c r="AA11">
        <v>0.76551226551226603</v>
      </c>
      <c r="AE11">
        <v>0.87554112554112595</v>
      </c>
      <c r="AH11">
        <v>0.96536796536796499</v>
      </c>
      <c r="AL11">
        <v>0.95021645021644996</v>
      </c>
      <c r="AP11">
        <v>0.95634920634920595</v>
      </c>
      <c r="AT11">
        <v>0.91053391053390997</v>
      </c>
      <c r="AX11">
        <v>0.95995670995671001</v>
      </c>
      <c r="AZ11" s="3"/>
      <c r="BB11">
        <v>0.95995670995671001</v>
      </c>
      <c r="BD11" s="3"/>
      <c r="BE11">
        <v>0.959235209235209</v>
      </c>
      <c r="BH11" s="3">
        <f t="shared" si="0"/>
        <v>0.96969696969696995</v>
      </c>
    </row>
    <row r="12" spans="1:60" x14ac:dyDescent="0.3">
      <c r="A12" s="1" t="s">
        <v>10</v>
      </c>
      <c r="B12" s="2">
        <v>0.99298245614035097</v>
      </c>
      <c r="C12" s="3"/>
      <c r="F12">
        <v>0.97543859649122799</v>
      </c>
      <c r="K12">
        <v>0.99210526315789505</v>
      </c>
      <c r="O12">
        <v>0.97807017543859698</v>
      </c>
      <c r="S12">
        <v>0.97982456140350904</v>
      </c>
      <c r="W12">
        <v>0.97368421052631604</v>
      </c>
      <c r="AA12">
        <v>0.97543859649122799</v>
      </c>
      <c r="AE12">
        <v>0.98947368421052595</v>
      </c>
      <c r="AH12">
        <v>0.98421052631578998</v>
      </c>
      <c r="AL12">
        <v>0.97982456140350904</v>
      </c>
      <c r="AP12">
        <v>0.98070175438596496</v>
      </c>
      <c r="AT12">
        <v>0.96403508771929802</v>
      </c>
      <c r="AX12">
        <v>0.97456140350877196</v>
      </c>
      <c r="AZ12" s="3"/>
      <c r="BB12">
        <v>0.981578947368421</v>
      </c>
      <c r="BD12" s="3"/>
      <c r="BE12">
        <v>0.98245614035087703</v>
      </c>
      <c r="BH12" s="3">
        <f t="shared" si="0"/>
        <v>0.99298245614035097</v>
      </c>
    </row>
    <row r="13" spans="1:60" x14ac:dyDescent="0.3">
      <c r="A13" s="1" t="s">
        <v>11</v>
      </c>
      <c r="B13" s="2">
        <v>1</v>
      </c>
      <c r="C13" s="3"/>
      <c r="F13">
        <v>0.99682539682539695</v>
      </c>
      <c r="K13">
        <v>0.99285714285714299</v>
      </c>
      <c r="O13">
        <v>0.99523809523809503</v>
      </c>
      <c r="S13">
        <v>0.99682539682539695</v>
      </c>
      <c r="W13">
        <v>1</v>
      </c>
      <c r="AA13">
        <v>0.99682539682539695</v>
      </c>
      <c r="AE13">
        <v>0.98888888888888904</v>
      </c>
      <c r="AH13">
        <v>0.99603174603174605</v>
      </c>
      <c r="AL13">
        <v>0.98968253968254005</v>
      </c>
      <c r="AP13">
        <v>0.98809523809523803</v>
      </c>
      <c r="AT13">
        <v>0.98571428571428599</v>
      </c>
      <c r="AX13">
        <v>0.99444444444444502</v>
      </c>
      <c r="AZ13" s="3"/>
      <c r="BB13">
        <v>0.99365079365079401</v>
      </c>
      <c r="BD13" s="3"/>
      <c r="BE13">
        <v>0.99682539682539695</v>
      </c>
      <c r="BH13" s="3">
        <f t="shared" si="0"/>
        <v>1</v>
      </c>
    </row>
    <row r="14" spans="1:60" x14ac:dyDescent="0.3">
      <c r="A14" s="1" t="s">
        <v>12</v>
      </c>
      <c r="B14" s="2">
        <v>0.83245877061469298</v>
      </c>
      <c r="C14" s="3"/>
      <c r="F14">
        <v>0.835832083958021</v>
      </c>
      <c r="K14">
        <v>0.87631184407796103</v>
      </c>
      <c r="O14">
        <v>0.83452023988005997</v>
      </c>
      <c r="S14">
        <v>0.87237631184407805</v>
      </c>
      <c r="W14">
        <v>0.88886806596701695</v>
      </c>
      <c r="AA14">
        <v>0.79610194902548703</v>
      </c>
      <c r="AE14">
        <v>0.86919040479760101</v>
      </c>
      <c r="AH14">
        <v>0.87968515742128905</v>
      </c>
      <c r="AL14">
        <v>0.90348575712143897</v>
      </c>
      <c r="AP14">
        <v>0.910419790104948</v>
      </c>
      <c r="AT14">
        <v>0.86712893553223402</v>
      </c>
      <c r="AX14">
        <v>0.89898800599700202</v>
      </c>
      <c r="AZ14" s="3"/>
      <c r="BB14">
        <v>0.89242878560719596</v>
      </c>
      <c r="BD14" s="3"/>
      <c r="BE14">
        <v>0.88549475262368804</v>
      </c>
      <c r="BH14" s="3">
        <f t="shared" si="0"/>
        <v>0.910419790104948</v>
      </c>
    </row>
    <row r="15" spans="1:60" x14ac:dyDescent="0.3">
      <c r="A15" s="1" t="s">
        <v>13</v>
      </c>
      <c r="B15" s="2">
        <v>0.85959313921021097</v>
      </c>
      <c r="C15" s="3"/>
      <c r="F15">
        <v>0.87953729557239702</v>
      </c>
      <c r="K15">
        <v>0.84164339848424397</v>
      </c>
      <c r="O15">
        <v>0.87036298364579201</v>
      </c>
      <c r="S15">
        <v>0.816114878340646</v>
      </c>
      <c r="W15">
        <v>0.82768248903071395</v>
      </c>
      <c r="AA15">
        <v>0.80414838452333504</v>
      </c>
      <c r="AE15">
        <v>0.77901874750698097</v>
      </c>
      <c r="AH15">
        <v>0.83486238532110102</v>
      </c>
      <c r="AL15">
        <v>0.88392500997207801</v>
      </c>
      <c r="AP15">
        <v>0.87873952931791</v>
      </c>
      <c r="AT15">
        <v>0.85161547666533699</v>
      </c>
      <c r="AX15">
        <v>0.84124451535699996</v>
      </c>
      <c r="AZ15" s="3"/>
      <c r="BB15">
        <v>0.865576386118867</v>
      </c>
      <c r="BD15" s="3"/>
      <c r="BE15">
        <v>0.85999202233745498</v>
      </c>
      <c r="BH15" s="3">
        <f t="shared" si="0"/>
        <v>0.88392500997207801</v>
      </c>
    </row>
    <row r="16" spans="1:60" x14ac:dyDescent="0.3">
      <c r="A16" s="1" t="s">
        <v>14</v>
      </c>
      <c r="B16" s="2">
        <v>0.875</v>
      </c>
      <c r="C16" s="3"/>
      <c r="F16">
        <v>0.91571428571428604</v>
      </c>
      <c r="K16">
        <v>0.72285714285714298</v>
      </c>
      <c r="O16">
        <v>0.92285714285714304</v>
      </c>
      <c r="S16">
        <v>0.750714285714286</v>
      </c>
      <c r="W16">
        <v>0.77249999999999996</v>
      </c>
      <c r="AA16">
        <v>0.53892857142857098</v>
      </c>
      <c r="AE16">
        <v>0.74285714285714299</v>
      </c>
      <c r="AH16">
        <v>0.95035714285714301</v>
      </c>
      <c r="AL16">
        <v>0.90785714285714303</v>
      </c>
      <c r="AP16">
        <v>0.935357142857143</v>
      </c>
      <c r="AT16">
        <v>0.91</v>
      </c>
      <c r="AX16">
        <v>0.96750000000000003</v>
      </c>
      <c r="AZ16" s="3"/>
      <c r="BB16">
        <v>0.97035714285714303</v>
      </c>
      <c r="BD16" s="3"/>
      <c r="BE16">
        <v>0.96750000000000003</v>
      </c>
      <c r="BH16" s="3">
        <f t="shared" si="0"/>
        <v>0.97035714285714303</v>
      </c>
    </row>
    <row r="17" spans="1:60" x14ac:dyDescent="0.3">
      <c r="A17" s="1" t="s">
        <v>15</v>
      </c>
      <c r="B17" s="2">
        <v>0.91837732160312802</v>
      </c>
      <c r="C17" s="3"/>
      <c r="F17">
        <v>0.91593352883675505</v>
      </c>
      <c r="K17">
        <v>0.91935483870967805</v>
      </c>
      <c r="O17">
        <v>0.88416422287389995</v>
      </c>
      <c r="S17">
        <v>0.95405669599218001</v>
      </c>
      <c r="W17">
        <v>0.92473118279569899</v>
      </c>
      <c r="AA17">
        <v>0.92717497556207196</v>
      </c>
      <c r="AE17">
        <v>0.88758553274682295</v>
      </c>
      <c r="AH17">
        <v>0.92424242424242398</v>
      </c>
      <c r="AL17">
        <v>0.91739980449657899</v>
      </c>
      <c r="AP17">
        <v>0.91739980449657899</v>
      </c>
      <c r="AT17">
        <v>0.96138807429130002</v>
      </c>
      <c r="AX17">
        <v>0.91984359726295195</v>
      </c>
      <c r="AZ17" s="3"/>
      <c r="BB17">
        <v>0.93499511241446698</v>
      </c>
      <c r="BD17" s="3"/>
      <c r="BE17">
        <v>0.90175953079178905</v>
      </c>
      <c r="BH17" s="3">
        <f t="shared" si="0"/>
        <v>0.96138807429130002</v>
      </c>
    </row>
    <row r="18" spans="1:60" x14ac:dyDescent="0.3">
      <c r="A18" s="1" t="s">
        <v>16</v>
      </c>
      <c r="B18" s="2">
        <v>0.76568466993998896</v>
      </c>
      <c r="C18" s="3"/>
      <c r="F18">
        <v>0.82542280414620905</v>
      </c>
      <c r="K18">
        <v>0.82896890343698904</v>
      </c>
      <c r="O18">
        <v>0.80851063829787195</v>
      </c>
      <c r="S18">
        <v>0.82160392798690696</v>
      </c>
      <c r="W18">
        <v>0.74931805782869598</v>
      </c>
      <c r="AA18">
        <v>0.67757774140752902</v>
      </c>
      <c r="AE18">
        <v>0.73213311511183898</v>
      </c>
      <c r="AH18">
        <v>0.83906164757228596</v>
      </c>
      <c r="AL18">
        <v>0.80523731587561398</v>
      </c>
      <c r="AP18">
        <v>0.80932896890343697</v>
      </c>
      <c r="AT18">
        <v>0.71958537915984699</v>
      </c>
      <c r="AX18">
        <v>0.788870703764321</v>
      </c>
      <c r="AZ18" s="3"/>
      <c r="BB18">
        <v>0.82787779596290201</v>
      </c>
      <c r="BD18" s="3"/>
      <c r="BE18">
        <v>0.84506273867976001</v>
      </c>
      <c r="BH18" s="3">
        <f t="shared" si="0"/>
        <v>0.84506273867976001</v>
      </c>
    </row>
    <row r="19" spans="1:60" x14ac:dyDescent="0.3">
      <c r="A19" s="1" t="s">
        <v>17</v>
      </c>
      <c r="B19" s="2">
        <v>0.60647673703627802</v>
      </c>
      <c r="C19" s="3"/>
      <c r="F19">
        <v>0.61590489854478403</v>
      </c>
      <c r="K19">
        <v>0.67739290838286503</v>
      </c>
      <c r="O19">
        <v>0.61569993851199001</v>
      </c>
      <c r="S19">
        <v>0.63066202090592305</v>
      </c>
      <c r="W19">
        <v>0.61651977864316498</v>
      </c>
      <c r="AA19">
        <v>0.61447017831522899</v>
      </c>
      <c r="AE19">
        <v>0.53576552572248404</v>
      </c>
      <c r="AH19">
        <v>0.65382250461160096</v>
      </c>
      <c r="AL19">
        <v>0.63681082188973204</v>
      </c>
      <c r="AP19">
        <v>0.66161098585775802</v>
      </c>
      <c r="AT19">
        <v>0.68518138962902198</v>
      </c>
      <c r="AX19">
        <v>0.65177290428366497</v>
      </c>
      <c r="AZ19" s="3"/>
      <c r="BB19">
        <v>0.65853658536585402</v>
      </c>
      <c r="BD19" s="3"/>
      <c r="BE19">
        <v>0.73047755687640903</v>
      </c>
      <c r="BH19" s="3">
        <f t="shared" si="0"/>
        <v>0.73047755687640903</v>
      </c>
    </row>
    <row r="20" spans="1:60" x14ac:dyDescent="0.3">
      <c r="A20" s="1" t="s">
        <v>18</v>
      </c>
      <c r="B20" s="2">
        <v>0.93888888888888899</v>
      </c>
      <c r="C20" s="3"/>
      <c r="F20">
        <v>0.96388888888888902</v>
      </c>
      <c r="K20">
        <v>0.97777777777777797</v>
      </c>
      <c r="O20">
        <v>0.96666666666666701</v>
      </c>
      <c r="S20">
        <v>1</v>
      </c>
      <c r="V20" t="s">
        <v>50</v>
      </c>
      <c r="AA20">
        <v>1</v>
      </c>
      <c r="AE20">
        <v>0.99444444444444402</v>
      </c>
      <c r="AH20">
        <v>0.99166666666666703</v>
      </c>
      <c r="AL20">
        <v>0.95555555555555605</v>
      </c>
      <c r="AP20">
        <v>0.95555555555555605</v>
      </c>
      <c r="AT20">
        <v>0.97499999999999998</v>
      </c>
      <c r="AX20">
        <v>0.96388888888888902</v>
      </c>
      <c r="AZ20" s="3"/>
      <c r="BB20">
        <v>0.94166666666666698</v>
      </c>
      <c r="BD20" s="3"/>
      <c r="BE20">
        <v>0.94722222222222197</v>
      </c>
      <c r="BH20" s="3">
        <f t="shared" si="0"/>
        <v>1</v>
      </c>
    </row>
    <row r="21" spans="1:60" x14ac:dyDescent="0.3">
      <c r="A21" s="1" t="s">
        <v>19</v>
      </c>
      <c r="B21" s="2">
        <v>0.95750000000000002</v>
      </c>
      <c r="C21" s="3"/>
      <c r="F21">
        <v>0.97416666666666696</v>
      </c>
      <c r="K21">
        <v>0.96625000000000005</v>
      </c>
      <c r="O21">
        <v>0.98291666666666699</v>
      </c>
      <c r="S21">
        <v>0.97916666666666696</v>
      </c>
      <c r="V21" t="s">
        <v>50</v>
      </c>
      <c r="AA21">
        <v>0.87208333333333299</v>
      </c>
      <c r="AE21">
        <v>0.89583333333333304</v>
      </c>
      <c r="AH21">
        <v>0.96833333333333305</v>
      </c>
      <c r="AL21">
        <v>0.94708333333333306</v>
      </c>
      <c r="AP21">
        <v>0.94750000000000001</v>
      </c>
      <c r="AT21">
        <v>0.96291666666666698</v>
      </c>
      <c r="AX21">
        <v>0.96416666666666695</v>
      </c>
      <c r="AZ21" s="3"/>
      <c r="BB21">
        <v>0.95583333333333298</v>
      </c>
      <c r="BD21" s="3"/>
      <c r="BE21">
        <v>0.96250000000000002</v>
      </c>
      <c r="BH21" s="3">
        <f t="shared" si="0"/>
        <v>0.98291666666666699</v>
      </c>
    </row>
    <row r="22" spans="1:60" x14ac:dyDescent="0.3">
      <c r="A22" s="1" t="s">
        <v>20</v>
      </c>
      <c r="B22" s="2">
        <v>0.86344537815126099</v>
      </c>
      <c r="C22" s="3"/>
      <c r="F22">
        <v>0.880252100840336</v>
      </c>
      <c r="K22">
        <v>0.79411764705882404</v>
      </c>
      <c r="O22">
        <v>0.88734243697478998</v>
      </c>
      <c r="S22">
        <v>0.83219537815126099</v>
      </c>
      <c r="V22" t="s">
        <v>50</v>
      </c>
      <c r="AA22">
        <v>0.86580882352941202</v>
      </c>
      <c r="AD22" t="s">
        <v>50</v>
      </c>
      <c r="AH22">
        <v>0.89522058823529405</v>
      </c>
      <c r="AL22">
        <v>0.89364495798319299</v>
      </c>
      <c r="AP22">
        <v>0.88918067226890796</v>
      </c>
      <c r="AT22">
        <v>0.908350840336134</v>
      </c>
      <c r="AX22">
        <v>0.92121848739495804</v>
      </c>
      <c r="AZ22" s="3"/>
      <c r="BB22">
        <v>0.938550420168067</v>
      </c>
      <c r="BD22" s="3"/>
      <c r="BE22">
        <v>0.9375</v>
      </c>
      <c r="BH22" s="3">
        <f t="shared" si="0"/>
        <v>0.938550420168067</v>
      </c>
    </row>
    <row r="23" spans="1:60" x14ac:dyDescent="0.3">
      <c r="A23" s="1" t="s">
        <v>21</v>
      </c>
      <c r="B23" s="2">
        <f>AVERAGE(B8:B22)</f>
        <v>0.87533956102292665</v>
      </c>
      <c r="C23" s="4"/>
      <c r="E23" s="1" t="s">
        <v>21</v>
      </c>
      <c r="F23" s="2">
        <f>AVERAGE(F8:F22)</f>
        <v>0.88621042350602919</v>
      </c>
      <c r="G23" s="12"/>
      <c r="H23" s="12"/>
      <c r="I23" s="12"/>
      <c r="J23" s="1" t="s">
        <v>21</v>
      </c>
      <c r="K23" s="2">
        <f>AVERAGE(K8:K22)</f>
        <v>0.86885184213987932</v>
      </c>
      <c r="N23" s="1" t="s">
        <v>21</v>
      </c>
      <c r="O23" s="2">
        <f>AVERAGE(O8:O22)</f>
        <v>0.88278353893634953</v>
      </c>
      <c r="R23" s="1" t="s">
        <v>21</v>
      </c>
      <c r="S23" s="2">
        <f>AVERAGE(S8:S22)</f>
        <v>0.88937056834323724</v>
      </c>
      <c r="V23" s="1" t="s">
        <v>21</v>
      </c>
      <c r="W23" s="2">
        <f>AVERAGE(W8:W22)</f>
        <v>0.85793300759667723</v>
      </c>
      <c r="Z23" s="1" t="s">
        <v>21</v>
      </c>
      <c r="AA23" s="2">
        <f>AVERAGE(AA8:AA22)</f>
        <v>0.79717762932130531</v>
      </c>
      <c r="AD23" s="1" t="s">
        <v>21</v>
      </c>
      <c r="AE23" s="2">
        <f>AVERAGE(AE8:AE22)</f>
        <v>0.81437296602861209</v>
      </c>
      <c r="AG23" s="1" t="s">
        <v>21</v>
      </c>
      <c r="AH23" s="2">
        <f>AVERAGE(AH8:AH22)</f>
        <v>0.9082867135664312</v>
      </c>
      <c r="AK23" s="1" t="s">
        <v>21</v>
      </c>
      <c r="AL23" s="2">
        <f>AVERAGE(AL8:AL22)</f>
        <v>0.89328477055440281</v>
      </c>
      <c r="AO23" s="1" t="s">
        <v>21</v>
      </c>
      <c r="AP23" s="2">
        <f>AVERAGE(AP8:AP22)</f>
        <v>0.90083240841939205</v>
      </c>
      <c r="AS23" s="1" t="s">
        <v>21</v>
      </c>
      <c r="AT23" s="2">
        <f>AVERAGE(AT8:AT22)</f>
        <v>0.89596193878027219</v>
      </c>
      <c r="AW23" s="1" t="s">
        <v>21</v>
      </c>
      <c r="AX23" s="2">
        <f>AVERAGE(AX8:AX22)</f>
        <v>0.89720090114115847</v>
      </c>
      <c r="AZ23" s="3"/>
      <c r="BA23" s="1" t="s">
        <v>21</v>
      </c>
      <c r="BB23" s="2">
        <f>AVERAGE(BB8:BB22)</f>
        <v>0.90090144831833452</v>
      </c>
      <c r="BD23" s="1" t="s">
        <v>21</v>
      </c>
      <c r="BE23" s="2">
        <f>AVERAGE(BE8:BE22)</f>
        <v>0.90305721697298091</v>
      </c>
      <c r="BH23" s="2">
        <f>AVERAGE(BH8:BH22)</f>
        <v>0.93386045370093074</v>
      </c>
    </row>
    <row r="24" spans="1:60" x14ac:dyDescent="0.3">
      <c r="BD24" s="3"/>
    </row>
    <row r="26" spans="1:60" x14ac:dyDescent="0.3">
      <c r="D26" s="5"/>
    </row>
    <row r="27" spans="1:60" x14ac:dyDescent="0.3">
      <c r="F27" s="3"/>
      <c r="G27" s="3"/>
      <c r="H27" s="3"/>
      <c r="I27" s="3"/>
      <c r="J27" s="3"/>
    </row>
    <row r="28" spans="1:60" x14ac:dyDescent="0.3">
      <c r="F28" s="3"/>
      <c r="G28" s="3"/>
      <c r="H28" s="3"/>
      <c r="I28" s="3"/>
      <c r="J28" s="3"/>
    </row>
    <row r="29" spans="1:60" x14ac:dyDescent="0.3">
      <c r="F29" s="3"/>
      <c r="G29" s="3"/>
      <c r="H29" s="3"/>
      <c r="I29" s="3"/>
      <c r="J29" s="3"/>
    </row>
    <row r="30" spans="1:60" x14ac:dyDescent="0.3">
      <c r="F30" s="3"/>
      <c r="G30" s="3"/>
      <c r="H30" s="3"/>
      <c r="I30" s="3"/>
      <c r="J30" s="3"/>
    </row>
    <row r="31" spans="1:60" x14ac:dyDescent="0.3">
      <c r="F31" s="3"/>
      <c r="G31" s="3"/>
      <c r="H31" s="3"/>
      <c r="I31" s="3"/>
      <c r="J31" s="3"/>
    </row>
    <row r="32" spans="1:60" x14ac:dyDescent="0.3">
      <c r="F32" s="3"/>
      <c r="G32" s="3"/>
      <c r="H32" s="3"/>
      <c r="I32" s="3"/>
      <c r="J32" s="3"/>
    </row>
    <row r="33" spans="4:41" x14ac:dyDescent="0.3">
      <c r="F33" s="3"/>
      <c r="G33" s="3"/>
      <c r="H33" s="3"/>
      <c r="I33" s="3"/>
      <c r="J33" s="3"/>
    </row>
    <row r="34" spans="4:41" x14ac:dyDescent="0.3">
      <c r="F34" s="3"/>
      <c r="G34" s="3"/>
      <c r="H34" s="3"/>
      <c r="I34" s="3"/>
      <c r="J34" s="3"/>
    </row>
    <row r="35" spans="4:41" x14ac:dyDescent="0.3">
      <c r="F35" s="3"/>
      <c r="G35" s="3"/>
      <c r="H35" s="3"/>
      <c r="I35" s="3"/>
      <c r="J35" s="3"/>
    </row>
    <row r="36" spans="4:41" x14ac:dyDescent="0.3">
      <c r="F36" s="3"/>
      <c r="G36" s="3"/>
      <c r="H36" s="3"/>
      <c r="I36" s="3"/>
      <c r="J36" s="3"/>
    </row>
    <row r="37" spans="4:41" x14ac:dyDescent="0.3">
      <c r="F37" s="3"/>
      <c r="G37" s="3"/>
      <c r="H37" s="3"/>
      <c r="I37" s="3"/>
      <c r="J37" s="3"/>
    </row>
    <row r="38" spans="4:41" x14ac:dyDescent="0.3">
      <c r="F38" s="3"/>
      <c r="G38" s="3"/>
      <c r="H38" s="3"/>
      <c r="I38" s="3"/>
      <c r="J38" s="3"/>
    </row>
    <row r="39" spans="4:41" x14ac:dyDescent="0.3">
      <c r="F39" s="3"/>
      <c r="G39" s="3"/>
      <c r="H39" s="3"/>
      <c r="I39" s="3"/>
      <c r="J39" s="3"/>
    </row>
    <row r="40" spans="4:41" x14ac:dyDescent="0.3">
      <c r="F40" s="3"/>
      <c r="G40" s="3"/>
      <c r="H40" s="3"/>
      <c r="I40" s="3"/>
      <c r="J40" s="3"/>
    </row>
    <row r="41" spans="4:41" x14ac:dyDescent="0.3">
      <c r="F41" s="3"/>
      <c r="G41" s="3"/>
      <c r="H41" s="3"/>
      <c r="I41" s="3"/>
      <c r="J41" s="3"/>
    </row>
    <row r="42" spans="4:41" x14ac:dyDescent="0.3">
      <c r="D42" s="2"/>
      <c r="AO4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3F8DA-ECDC-4396-91D8-14469DEFD1A8}">
  <dimension ref="A1:GQ26"/>
  <sheetViews>
    <sheetView workbookViewId="0">
      <selection activeCell="CU11" sqref="CU11"/>
    </sheetView>
  </sheetViews>
  <sheetFormatPr defaultRowHeight="14.4" x14ac:dyDescent="0.3"/>
  <cols>
    <col min="23" max="27" width="8.77734375" customWidth="1"/>
    <col min="120" max="120" width="15.5546875" bestFit="1" customWidth="1"/>
    <col min="123" max="123" width="15.5546875" bestFit="1" customWidth="1"/>
    <col min="126" max="126" width="15.5546875" bestFit="1" customWidth="1"/>
    <col min="132" max="132" width="15.5546875" bestFit="1" customWidth="1"/>
    <col min="135" max="135" width="15.5546875" bestFit="1" customWidth="1"/>
    <col min="138" max="138" width="15.5546875" bestFit="1" customWidth="1"/>
    <col min="141" max="141" width="15.5546875" bestFit="1" customWidth="1"/>
    <col min="147" max="147" width="13.6640625" customWidth="1"/>
    <col min="157" max="157" width="17.6640625" bestFit="1" customWidth="1"/>
    <col min="160" max="160" width="17.6640625" bestFit="1" customWidth="1"/>
    <col min="169" max="169" width="17.6640625" bestFit="1" customWidth="1"/>
    <col min="172" max="172" width="17.6640625" bestFit="1" customWidth="1"/>
    <col min="177" max="177" width="9.5546875" bestFit="1" customWidth="1"/>
    <col min="178" max="178" width="15.5546875" bestFit="1" customWidth="1"/>
    <col min="179" max="179" width="9.5546875" bestFit="1" customWidth="1"/>
    <col min="180" max="180" width="20.77734375" bestFit="1" customWidth="1"/>
  </cols>
  <sheetData>
    <row r="1" spans="1:199" x14ac:dyDescent="0.3">
      <c r="B1" t="s">
        <v>0</v>
      </c>
      <c r="C1" t="s">
        <v>54</v>
      </c>
      <c r="D1" t="s">
        <v>22</v>
      </c>
      <c r="E1" t="s">
        <v>0</v>
      </c>
      <c r="F1" t="s">
        <v>109</v>
      </c>
      <c r="G1" t="s">
        <v>22</v>
      </c>
      <c r="H1" t="s">
        <v>0</v>
      </c>
      <c r="I1" t="s">
        <v>110</v>
      </c>
      <c r="J1" t="s">
        <v>22</v>
      </c>
      <c r="L1" t="s">
        <v>0</v>
      </c>
      <c r="M1" t="s">
        <v>55</v>
      </c>
      <c r="N1" t="s">
        <v>22</v>
      </c>
      <c r="P1" t="s">
        <v>0</v>
      </c>
      <c r="Q1" t="s">
        <v>56</v>
      </c>
      <c r="R1" t="s">
        <v>22</v>
      </c>
      <c r="T1" t="s">
        <v>0</v>
      </c>
      <c r="U1" t="s">
        <v>56</v>
      </c>
      <c r="V1" t="s">
        <v>22</v>
      </c>
      <c r="X1" t="s">
        <v>0</v>
      </c>
      <c r="Y1" t="s">
        <v>56</v>
      </c>
      <c r="Z1" t="s">
        <v>22</v>
      </c>
      <c r="AB1" t="s">
        <v>0</v>
      </c>
      <c r="AC1" t="s">
        <v>57</v>
      </c>
      <c r="AD1" t="s">
        <v>22</v>
      </c>
      <c r="AE1" t="s">
        <v>0</v>
      </c>
      <c r="AF1" t="s">
        <v>57</v>
      </c>
      <c r="AG1" t="s">
        <v>22</v>
      </c>
      <c r="AI1" t="s">
        <v>0</v>
      </c>
      <c r="AJ1" t="s">
        <v>57</v>
      </c>
      <c r="AK1" t="s">
        <v>22</v>
      </c>
      <c r="AM1" t="s">
        <v>0</v>
      </c>
      <c r="AN1" t="s">
        <v>57</v>
      </c>
      <c r="AO1" t="s">
        <v>22</v>
      </c>
      <c r="AQ1" t="s">
        <v>0</v>
      </c>
      <c r="AR1" t="s">
        <v>57</v>
      </c>
      <c r="AS1" t="s">
        <v>22</v>
      </c>
      <c r="AU1" t="s">
        <v>0</v>
      </c>
      <c r="AV1" t="s">
        <v>57</v>
      </c>
      <c r="AW1" t="s">
        <v>22</v>
      </c>
      <c r="AX1" t="s">
        <v>0</v>
      </c>
      <c r="AY1" t="s">
        <v>57</v>
      </c>
      <c r="AZ1" t="s">
        <v>22</v>
      </c>
      <c r="BA1" t="s">
        <v>0</v>
      </c>
      <c r="BB1" t="s">
        <v>57</v>
      </c>
      <c r="BC1" t="s">
        <v>22</v>
      </c>
      <c r="BD1" t="s">
        <v>0</v>
      </c>
      <c r="BE1" t="s">
        <v>57</v>
      </c>
      <c r="BF1" t="s">
        <v>22</v>
      </c>
      <c r="BG1" t="s">
        <v>0</v>
      </c>
      <c r="BH1" t="s">
        <v>57</v>
      </c>
      <c r="BI1" t="s">
        <v>22</v>
      </c>
      <c r="BJ1" t="s">
        <v>0</v>
      </c>
      <c r="BK1" t="s">
        <v>57</v>
      </c>
      <c r="BL1" t="s">
        <v>22</v>
      </c>
      <c r="BM1" t="s">
        <v>0</v>
      </c>
      <c r="BN1" t="s">
        <v>57</v>
      </c>
      <c r="BO1" t="s">
        <v>22</v>
      </c>
      <c r="BP1" t="s">
        <v>0</v>
      </c>
      <c r="BQ1" t="s">
        <v>57</v>
      </c>
      <c r="BR1" t="s">
        <v>22</v>
      </c>
      <c r="BS1" t="s">
        <v>0</v>
      </c>
      <c r="BT1" t="s">
        <v>57</v>
      </c>
      <c r="BU1" t="s">
        <v>22</v>
      </c>
      <c r="BV1" t="s">
        <v>0</v>
      </c>
      <c r="BW1" t="s">
        <v>57</v>
      </c>
      <c r="BX1" t="s">
        <v>22</v>
      </c>
      <c r="BY1" t="s">
        <v>0</v>
      </c>
      <c r="BZ1" t="s">
        <v>57</v>
      </c>
      <c r="CA1" t="s">
        <v>22</v>
      </c>
      <c r="CB1" t="s">
        <v>0</v>
      </c>
      <c r="CC1" t="s">
        <v>57</v>
      </c>
      <c r="CD1" t="s">
        <v>22</v>
      </c>
      <c r="CE1" t="s">
        <v>0</v>
      </c>
      <c r="CF1" t="s">
        <v>56</v>
      </c>
      <c r="CG1" t="s">
        <v>22</v>
      </c>
      <c r="CH1" t="s">
        <v>0</v>
      </c>
      <c r="CI1" t="s">
        <v>56</v>
      </c>
      <c r="CJ1" t="s">
        <v>22</v>
      </c>
      <c r="CK1" t="s">
        <v>0</v>
      </c>
      <c r="CL1" t="s">
        <v>56</v>
      </c>
      <c r="CM1" t="s">
        <v>22</v>
      </c>
      <c r="CN1" t="s">
        <v>0</v>
      </c>
      <c r="CO1" t="s">
        <v>56</v>
      </c>
      <c r="CP1" t="s">
        <v>22</v>
      </c>
      <c r="CQ1" t="s">
        <v>0</v>
      </c>
      <c r="CR1" t="s">
        <v>56</v>
      </c>
      <c r="CS1" t="s">
        <v>22</v>
      </c>
      <c r="CT1" t="s">
        <v>0</v>
      </c>
      <c r="CU1" t="s">
        <v>55</v>
      </c>
      <c r="CV1" t="s">
        <v>22</v>
      </c>
      <c r="CW1" t="s">
        <v>0</v>
      </c>
      <c r="CX1" t="s">
        <v>55</v>
      </c>
      <c r="CY1" t="s">
        <v>22</v>
      </c>
      <c r="CZ1" t="s">
        <v>0</v>
      </c>
      <c r="DA1" t="s">
        <v>55</v>
      </c>
      <c r="DB1" t="s">
        <v>22</v>
      </c>
      <c r="DC1" t="s">
        <v>0</v>
      </c>
      <c r="DD1" t="s">
        <v>55</v>
      </c>
      <c r="DE1" t="s">
        <v>22</v>
      </c>
      <c r="DG1" t="s">
        <v>0</v>
      </c>
      <c r="DH1" t="s">
        <v>100</v>
      </c>
      <c r="DI1" t="s">
        <v>22</v>
      </c>
      <c r="DK1" t="s">
        <v>0</v>
      </c>
      <c r="DL1" t="s">
        <v>100</v>
      </c>
      <c r="DM1" t="s">
        <v>22</v>
      </c>
      <c r="DO1" t="s">
        <v>0</v>
      </c>
      <c r="DP1" t="s">
        <v>116</v>
      </c>
      <c r="DQ1" t="s">
        <v>22</v>
      </c>
      <c r="DR1" t="s">
        <v>0</v>
      </c>
      <c r="DS1" t="s">
        <v>116</v>
      </c>
      <c r="DT1" t="s">
        <v>22</v>
      </c>
      <c r="DU1" t="s">
        <v>0</v>
      </c>
      <c r="DV1" t="s">
        <v>116</v>
      </c>
      <c r="DW1" t="s">
        <v>22</v>
      </c>
      <c r="DX1" t="s">
        <v>0</v>
      </c>
      <c r="DY1" t="s">
        <v>116</v>
      </c>
      <c r="DZ1" t="s">
        <v>22</v>
      </c>
      <c r="EA1" t="s">
        <v>0</v>
      </c>
      <c r="EB1" t="s">
        <v>116</v>
      </c>
      <c r="EC1" t="s">
        <v>22</v>
      </c>
      <c r="ED1" t="s">
        <v>0</v>
      </c>
      <c r="EE1" t="s">
        <v>116</v>
      </c>
      <c r="EF1" t="s">
        <v>22</v>
      </c>
      <c r="EG1" t="s">
        <v>0</v>
      </c>
      <c r="EH1" t="s">
        <v>111</v>
      </c>
      <c r="EI1" t="s">
        <v>22</v>
      </c>
      <c r="EJ1" t="s">
        <v>0</v>
      </c>
      <c r="EK1" t="s">
        <v>119</v>
      </c>
      <c r="EL1" t="s">
        <v>22</v>
      </c>
      <c r="EM1" t="s">
        <v>0</v>
      </c>
      <c r="EN1" t="s">
        <v>119</v>
      </c>
      <c r="EO1" t="s">
        <v>22</v>
      </c>
      <c r="EP1" t="s">
        <v>0</v>
      </c>
      <c r="EQ1" t="s">
        <v>119</v>
      </c>
      <c r="ER1" t="s">
        <v>22</v>
      </c>
      <c r="ES1" t="s">
        <v>0</v>
      </c>
      <c r="ET1" t="s">
        <v>119</v>
      </c>
      <c r="EU1" t="s">
        <v>22</v>
      </c>
      <c r="EV1" t="s">
        <v>0</v>
      </c>
      <c r="EW1" t="s">
        <v>119</v>
      </c>
      <c r="EX1" t="s">
        <v>22</v>
      </c>
      <c r="EZ1" t="s">
        <v>0</v>
      </c>
      <c r="FA1" t="s">
        <v>120</v>
      </c>
      <c r="FB1" t="s">
        <v>22</v>
      </c>
      <c r="FC1" t="s">
        <v>0</v>
      </c>
      <c r="FD1" t="s">
        <v>121</v>
      </c>
      <c r="FE1" t="s">
        <v>22</v>
      </c>
      <c r="FF1" t="s">
        <v>0</v>
      </c>
      <c r="FG1" t="s">
        <v>121</v>
      </c>
      <c r="FH1" t="s">
        <v>22</v>
      </c>
      <c r="FI1" t="s">
        <v>0</v>
      </c>
      <c r="FJ1" t="s">
        <v>121</v>
      </c>
      <c r="FK1" t="s">
        <v>22</v>
      </c>
      <c r="FL1" t="s">
        <v>0</v>
      </c>
      <c r="FM1" t="s">
        <v>121</v>
      </c>
      <c r="FN1" t="s">
        <v>22</v>
      </c>
      <c r="FO1" t="s">
        <v>0</v>
      </c>
      <c r="FP1" t="s">
        <v>121</v>
      </c>
      <c r="FQ1" t="s">
        <v>22</v>
      </c>
      <c r="FR1" t="s">
        <v>0</v>
      </c>
      <c r="FS1" t="s">
        <v>121</v>
      </c>
      <c r="FT1" t="s">
        <v>22</v>
      </c>
      <c r="FU1" t="s">
        <v>0</v>
      </c>
      <c r="FV1" t="s">
        <v>123</v>
      </c>
      <c r="FW1" t="s">
        <v>22</v>
      </c>
      <c r="FX1" t="s">
        <v>0</v>
      </c>
      <c r="FY1" t="s">
        <v>123</v>
      </c>
      <c r="FZ1" t="s">
        <v>22</v>
      </c>
      <c r="GA1" t="s">
        <v>0</v>
      </c>
      <c r="GB1" t="s">
        <v>126</v>
      </c>
      <c r="GC1" t="s">
        <v>22</v>
      </c>
      <c r="GE1" t="s">
        <v>0</v>
      </c>
      <c r="GF1" t="s">
        <v>127</v>
      </c>
      <c r="GG1" t="s">
        <v>22</v>
      </c>
      <c r="GH1" t="s">
        <v>0</v>
      </c>
      <c r="GI1" t="s">
        <v>128</v>
      </c>
      <c r="GJ1" t="s">
        <v>22</v>
      </c>
      <c r="GL1" t="s">
        <v>0</v>
      </c>
      <c r="GM1" t="s">
        <v>116</v>
      </c>
      <c r="GN1" t="s">
        <v>22</v>
      </c>
      <c r="GO1" t="s">
        <v>0</v>
      </c>
      <c r="GP1" t="s">
        <v>110</v>
      </c>
      <c r="GQ1" t="s">
        <v>22</v>
      </c>
    </row>
    <row r="2" spans="1:199" x14ac:dyDescent="0.3">
      <c r="B2" t="s">
        <v>2</v>
      </c>
      <c r="C2">
        <v>64</v>
      </c>
      <c r="E2" t="s">
        <v>2</v>
      </c>
      <c r="F2">
        <v>64</v>
      </c>
      <c r="H2" t="s">
        <v>2</v>
      </c>
      <c r="I2">
        <v>64</v>
      </c>
      <c r="J2">
        <v>64</v>
      </c>
      <c r="L2" t="s">
        <v>2</v>
      </c>
      <c r="M2">
        <v>256</v>
      </c>
      <c r="N2" t="s">
        <v>45</v>
      </c>
      <c r="P2" t="s">
        <v>2</v>
      </c>
      <c r="Q2">
        <v>128</v>
      </c>
      <c r="R2" t="s">
        <v>45</v>
      </c>
      <c r="T2" t="s">
        <v>2</v>
      </c>
      <c r="U2">
        <v>128</v>
      </c>
      <c r="V2" t="s">
        <v>45</v>
      </c>
      <c r="X2" t="s">
        <v>2</v>
      </c>
      <c r="Y2">
        <v>128</v>
      </c>
      <c r="Z2" t="s">
        <v>45</v>
      </c>
      <c r="AB2" t="s">
        <v>2</v>
      </c>
      <c r="AC2">
        <v>64</v>
      </c>
      <c r="AD2" t="s">
        <v>45</v>
      </c>
      <c r="AE2" t="s">
        <v>2</v>
      </c>
      <c r="AF2">
        <v>64</v>
      </c>
      <c r="AG2" t="s">
        <v>45</v>
      </c>
      <c r="AI2" t="s">
        <v>2</v>
      </c>
      <c r="AJ2">
        <v>64</v>
      </c>
      <c r="AK2" t="s">
        <v>45</v>
      </c>
      <c r="AM2" t="s">
        <v>2</v>
      </c>
      <c r="AN2">
        <v>64</v>
      </c>
      <c r="AO2" t="s">
        <v>45</v>
      </c>
      <c r="AQ2" t="s">
        <v>2</v>
      </c>
      <c r="AR2">
        <v>64</v>
      </c>
      <c r="AS2" t="s">
        <v>45</v>
      </c>
      <c r="AU2" t="s">
        <v>2</v>
      </c>
      <c r="AV2">
        <v>64</v>
      </c>
      <c r="AW2" t="s">
        <v>45</v>
      </c>
      <c r="AX2" t="s">
        <v>2</v>
      </c>
      <c r="AY2">
        <v>64</v>
      </c>
      <c r="AZ2" t="s">
        <v>45</v>
      </c>
      <c r="BA2" t="s">
        <v>2</v>
      </c>
      <c r="BB2" s="17" t="s">
        <v>77</v>
      </c>
      <c r="BC2">
        <v>55</v>
      </c>
      <c r="BD2" t="s">
        <v>2</v>
      </c>
      <c r="BE2" s="17" t="s">
        <v>78</v>
      </c>
      <c r="BF2">
        <v>50</v>
      </c>
      <c r="BG2" t="s">
        <v>2</v>
      </c>
      <c r="BH2" s="17" t="s">
        <v>79</v>
      </c>
      <c r="BI2">
        <v>45</v>
      </c>
      <c r="BJ2" t="s">
        <v>2</v>
      </c>
      <c r="BK2" s="17" t="s">
        <v>80</v>
      </c>
      <c r="BL2">
        <v>35</v>
      </c>
      <c r="BM2" t="s">
        <v>2</v>
      </c>
      <c r="BN2" s="17" t="s">
        <v>81</v>
      </c>
      <c r="BO2">
        <v>15</v>
      </c>
      <c r="BP2" t="s">
        <v>2</v>
      </c>
      <c r="BQ2" s="17" t="s">
        <v>82</v>
      </c>
      <c r="BR2">
        <v>10</v>
      </c>
      <c r="BS2" t="s">
        <v>2</v>
      </c>
      <c r="BT2" s="17" t="s">
        <v>83</v>
      </c>
      <c r="BU2">
        <v>5</v>
      </c>
      <c r="BV2" t="s">
        <v>2</v>
      </c>
      <c r="BW2" s="17" t="s">
        <v>84</v>
      </c>
      <c r="BX2">
        <v>3</v>
      </c>
      <c r="BY2" t="s">
        <v>2</v>
      </c>
      <c r="BZ2" s="17" t="s">
        <v>85</v>
      </c>
      <c r="CA2">
        <v>2</v>
      </c>
      <c r="CB2" t="s">
        <v>2</v>
      </c>
      <c r="CC2" s="17" t="s">
        <v>86</v>
      </c>
      <c r="CD2">
        <v>1</v>
      </c>
      <c r="CE2" t="s">
        <v>2</v>
      </c>
      <c r="CF2" t="s">
        <v>87</v>
      </c>
      <c r="CG2">
        <v>64</v>
      </c>
      <c r="CH2" t="s">
        <v>2</v>
      </c>
      <c r="CI2" t="s">
        <v>87</v>
      </c>
      <c r="CJ2">
        <v>64</v>
      </c>
      <c r="CK2" t="s">
        <v>2</v>
      </c>
      <c r="CL2" t="s">
        <v>91</v>
      </c>
      <c r="CM2">
        <v>29</v>
      </c>
      <c r="CN2" t="s">
        <v>2</v>
      </c>
      <c r="CO2" t="s">
        <v>89</v>
      </c>
      <c r="CP2">
        <v>28</v>
      </c>
      <c r="CQ2" t="s">
        <v>2</v>
      </c>
      <c r="CR2" t="s">
        <v>90</v>
      </c>
      <c r="CS2">
        <v>14</v>
      </c>
      <c r="CT2" t="s">
        <v>2</v>
      </c>
      <c r="CU2" t="s">
        <v>93</v>
      </c>
      <c r="CV2">
        <v>128</v>
      </c>
      <c r="CW2" t="s">
        <v>2</v>
      </c>
      <c r="CX2" t="s">
        <v>94</v>
      </c>
      <c r="CY2">
        <v>64</v>
      </c>
      <c r="CZ2" t="s">
        <v>2</v>
      </c>
      <c r="DA2" t="s">
        <v>95</v>
      </c>
      <c r="DB2">
        <v>192</v>
      </c>
      <c r="DC2" t="s">
        <v>2</v>
      </c>
      <c r="DD2" t="s">
        <v>98</v>
      </c>
      <c r="DE2" t="s">
        <v>45</v>
      </c>
      <c r="DG2" t="s">
        <v>2</v>
      </c>
      <c r="DH2" t="s">
        <v>101</v>
      </c>
      <c r="DI2">
        <v>384</v>
      </c>
      <c r="DK2" t="s">
        <v>2</v>
      </c>
      <c r="DL2" t="s">
        <v>102</v>
      </c>
      <c r="DM2">
        <v>192</v>
      </c>
      <c r="DO2" t="s">
        <v>2</v>
      </c>
      <c r="DP2">
        <v>256</v>
      </c>
      <c r="DR2" t="s">
        <v>2</v>
      </c>
      <c r="DS2">
        <v>384</v>
      </c>
      <c r="DU2" t="s">
        <v>2</v>
      </c>
      <c r="DV2">
        <v>448</v>
      </c>
      <c r="DX2" t="s">
        <v>2</v>
      </c>
      <c r="DY2">
        <v>500</v>
      </c>
      <c r="EA2" t="s">
        <v>2</v>
      </c>
      <c r="EB2">
        <v>512</v>
      </c>
      <c r="ED2" t="s">
        <v>2</v>
      </c>
      <c r="EE2">
        <v>448</v>
      </c>
      <c r="EG2" t="s">
        <v>2</v>
      </c>
      <c r="EH2">
        <v>448</v>
      </c>
      <c r="EJ2" t="s">
        <v>2</v>
      </c>
      <c r="EK2">
        <v>128</v>
      </c>
      <c r="EM2" t="s">
        <v>2</v>
      </c>
      <c r="EN2">
        <v>192</v>
      </c>
      <c r="EP2" t="s">
        <v>2</v>
      </c>
      <c r="EQ2">
        <v>224</v>
      </c>
      <c r="ES2" t="s">
        <v>2</v>
      </c>
      <c r="ET2">
        <v>250</v>
      </c>
      <c r="EV2" t="s">
        <v>2</v>
      </c>
      <c r="EW2">
        <v>192</v>
      </c>
      <c r="EZ2" t="s">
        <v>2</v>
      </c>
      <c r="FA2">
        <v>192</v>
      </c>
      <c r="FC2" t="s">
        <v>2</v>
      </c>
      <c r="FD2">
        <v>192</v>
      </c>
      <c r="FF2" t="s">
        <v>2</v>
      </c>
      <c r="FG2">
        <v>300</v>
      </c>
      <c r="FI2" t="s">
        <v>2</v>
      </c>
      <c r="FJ2">
        <v>512</v>
      </c>
      <c r="FL2" t="s">
        <v>2</v>
      </c>
      <c r="FM2">
        <v>650</v>
      </c>
      <c r="FO2" t="s">
        <v>2</v>
      </c>
      <c r="FP2">
        <v>750</v>
      </c>
      <c r="FR2" t="s">
        <v>2</v>
      </c>
      <c r="FS2">
        <v>760</v>
      </c>
      <c r="FU2" t="s">
        <v>2</v>
      </c>
      <c r="FV2">
        <v>448</v>
      </c>
      <c r="FX2" t="s">
        <v>2</v>
      </c>
      <c r="FY2">
        <v>512</v>
      </c>
      <c r="GA2" t="s">
        <v>2</v>
      </c>
      <c r="GB2">
        <v>512</v>
      </c>
      <c r="GE2" t="s">
        <v>2</v>
      </c>
      <c r="GF2">
        <v>768</v>
      </c>
      <c r="GH2" t="s">
        <v>2</v>
      </c>
      <c r="GI2">
        <v>896</v>
      </c>
      <c r="GL2" t="s">
        <v>2</v>
      </c>
      <c r="GM2">
        <v>128</v>
      </c>
      <c r="GO2" t="s">
        <v>2</v>
      </c>
      <c r="GP2">
        <v>128</v>
      </c>
    </row>
    <row r="3" spans="1:199" x14ac:dyDescent="0.3">
      <c r="B3" t="s">
        <v>3</v>
      </c>
      <c r="C3">
        <v>224</v>
      </c>
      <c r="E3" t="s">
        <v>3</v>
      </c>
      <c r="F3">
        <v>224</v>
      </c>
      <c r="H3" t="s">
        <v>3</v>
      </c>
      <c r="I3">
        <v>224</v>
      </c>
      <c r="L3" t="s">
        <v>3</v>
      </c>
      <c r="M3">
        <v>224</v>
      </c>
      <c r="P3" t="s">
        <v>3</v>
      </c>
      <c r="Q3">
        <v>224</v>
      </c>
      <c r="T3" t="s">
        <v>3</v>
      </c>
      <c r="U3">
        <v>224</v>
      </c>
      <c r="X3" t="s">
        <v>3</v>
      </c>
      <c r="Y3">
        <v>224</v>
      </c>
      <c r="AB3" t="s">
        <v>3</v>
      </c>
      <c r="AC3">
        <v>224</v>
      </c>
      <c r="AE3" t="s">
        <v>3</v>
      </c>
      <c r="AF3">
        <v>224</v>
      </c>
      <c r="AI3" t="s">
        <v>3</v>
      </c>
      <c r="AJ3">
        <v>224</v>
      </c>
      <c r="AM3" t="s">
        <v>3</v>
      </c>
      <c r="AN3">
        <v>224</v>
      </c>
      <c r="AQ3" t="s">
        <v>3</v>
      </c>
      <c r="AR3">
        <v>224</v>
      </c>
      <c r="AU3" t="s">
        <v>3</v>
      </c>
      <c r="AV3">
        <v>224</v>
      </c>
      <c r="AX3" t="s">
        <v>3</v>
      </c>
      <c r="AY3">
        <v>224</v>
      </c>
      <c r="BA3" t="s">
        <v>3</v>
      </c>
      <c r="BB3">
        <v>224</v>
      </c>
      <c r="BD3" t="s">
        <v>3</v>
      </c>
      <c r="BE3">
        <v>224</v>
      </c>
      <c r="BG3" t="s">
        <v>3</v>
      </c>
      <c r="BH3">
        <v>224</v>
      </c>
      <c r="BJ3" t="s">
        <v>3</v>
      </c>
      <c r="BK3">
        <v>224</v>
      </c>
      <c r="BM3" t="s">
        <v>3</v>
      </c>
      <c r="BN3">
        <v>224</v>
      </c>
      <c r="BP3" t="s">
        <v>3</v>
      </c>
      <c r="BQ3">
        <v>224</v>
      </c>
      <c r="BS3" t="s">
        <v>3</v>
      </c>
      <c r="BT3">
        <v>224</v>
      </c>
      <c r="BV3" t="s">
        <v>3</v>
      </c>
      <c r="BW3">
        <v>224</v>
      </c>
      <c r="BY3" t="s">
        <v>3</v>
      </c>
      <c r="BZ3">
        <v>224</v>
      </c>
      <c r="CB3" t="s">
        <v>3</v>
      </c>
      <c r="CC3">
        <v>224</v>
      </c>
      <c r="CE3" t="s">
        <v>3</v>
      </c>
      <c r="CF3">
        <v>224</v>
      </c>
      <c r="CH3" t="s">
        <v>3</v>
      </c>
      <c r="CI3">
        <v>224</v>
      </c>
      <c r="CK3" t="s">
        <v>3</v>
      </c>
      <c r="CL3">
        <v>224</v>
      </c>
      <c r="CN3" t="s">
        <v>3</v>
      </c>
      <c r="CO3">
        <v>224</v>
      </c>
      <c r="CQ3" t="s">
        <v>3</v>
      </c>
      <c r="CR3">
        <v>224</v>
      </c>
      <c r="CT3" t="s">
        <v>3</v>
      </c>
      <c r="CU3">
        <v>224</v>
      </c>
      <c r="CW3" t="s">
        <v>3</v>
      </c>
      <c r="CX3">
        <v>224</v>
      </c>
      <c r="CZ3" t="s">
        <v>3</v>
      </c>
      <c r="DA3">
        <v>224</v>
      </c>
      <c r="DC3" t="s">
        <v>3</v>
      </c>
      <c r="DD3">
        <v>224</v>
      </c>
      <c r="DG3" t="s">
        <v>3</v>
      </c>
      <c r="DH3">
        <v>224</v>
      </c>
      <c r="DK3" t="s">
        <v>3</v>
      </c>
      <c r="DL3">
        <v>224</v>
      </c>
      <c r="DO3" t="s">
        <v>3</v>
      </c>
      <c r="DP3">
        <v>512</v>
      </c>
      <c r="DR3" t="s">
        <v>3</v>
      </c>
      <c r="DS3">
        <v>512</v>
      </c>
      <c r="DU3" t="s">
        <v>3</v>
      </c>
      <c r="DV3">
        <v>512</v>
      </c>
      <c r="DX3" t="s">
        <v>3</v>
      </c>
      <c r="DY3">
        <v>512</v>
      </c>
      <c r="EA3" t="s">
        <v>3</v>
      </c>
      <c r="EB3">
        <v>512</v>
      </c>
      <c r="ED3" t="s">
        <v>3</v>
      </c>
      <c r="EE3">
        <v>224</v>
      </c>
      <c r="EG3" t="s">
        <v>3</v>
      </c>
      <c r="EH3">
        <v>224</v>
      </c>
      <c r="EJ3" t="s">
        <v>3</v>
      </c>
      <c r="EK3">
        <v>224</v>
      </c>
      <c r="EM3" t="s">
        <v>3</v>
      </c>
      <c r="EN3">
        <v>224</v>
      </c>
      <c r="EP3" t="s">
        <v>3</v>
      </c>
      <c r="EQ3">
        <v>224</v>
      </c>
      <c r="ES3" t="s">
        <v>3</v>
      </c>
      <c r="ET3">
        <v>224</v>
      </c>
      <c r="EV3" t="s">
        <v>3</v>
      </c>
      <c r="EW3">
        <v>512</v>
      </c>
      <c r="EZ3" t="s">
        <v>3</v>
      </c>
      <c r="FA3">
        <v>224</v>
      </c>
      <c r="FC3" t="s">
        <v>3</v>
      </c>
      <c r="FD3">
        <v>224</v>
      </c>
      <c r="FF3" t="s">
        <v>3</v>
      </c>
      <c r="FG3">
        <v>224</v>
      </c>
      <c r="FI3" t="s">
        <v>3</v>
      </c>
      <c r="FJ3">
        <v>224</v>
      </c>
      <c r="FL3" t="s">
        <v>3</v>
      </c>
      <c r="FM3">
        <v>224</v>
      </c>
      <c r="FO3" t="s">
        <v>3</v>
      </c>
      <c r="FP3">
        <v>224</v>
      </c>
      <c r="FR3" t="s">
        <v>3</v>
      </c>
      <c r="FS3">
        <v>224</v>
      </c>
      <c r="FU3" t="s">
        <v>3</v>
      </c>
      <c r="FV3" t="s">
        <v>124</v>
      </c>
      <c r="FX3" t="s">
        <v>3</v>
      </c>
      <c r="FY3" t="s">
        <v>125</v>
      </c>
      <c r="GA3" t="s">
        <v>3</v>
      </c>
      <c r="GB3" t="s">
        <v>125</v>
      </c>
      <c r="GE3" t="s">
        <v>3</v>
      </c>
      <c r="GF3" t="s">
        <v>125</v>
      </c>
      <c r="GH3" t="s">
        <v>3</v>
      </c>
      <c r="GI3" t="s">
        <v>125</v>
      </c>
      <c r="GL3" t="s">
        <v>3</v>
      </c>
      <c r="GM3" t="s">
        <v>125</v>
      </c>
      <c r="GO3" t="s">
        <v>3</v>
      </c>
      <c r="GP3" t="s">
        <v>125</v>
      </c>
    </row>
    <row r="4" spans="1:199" x14ac:dyDescent="0.3">
      <c r="B4" t="s">
        <v>4</v>
      </c>
      <c r="C4" t="s">
        <v>5</v>
      </c>
      <c r="E4" t="s">
        <v>4</v>
      </c>
      <c r="F4" t="s">
        <v>5</v>
      </c>
      <c r="H4" t="s">
        <v>4</v>
      </c>
      <c r="I4" t="s">
        <v>5</v>
      </c>
      <c r="L4" t="s">
        <v>4</v>
      </c>
      <c r="M4" t="s">
        <v>5</v>
      </c>
      <c r="P4" t="s">
        <v>4</v>
      </c>
      <c r="Q4" t="s">
        <v>5</v>
      </c>
      <c r="T4" t="s">
        <v>4</v>
      </c>
      <c r="U4" t="s">
        <v>5</v>
      </c>
      <c r="X4" t="s">
        <v>4</v>
      </c>
      <c r="Y4" t="s">
        <v>5</v>
      </c>
      <c r="AB4" t="s">
        <v>4</v>
      </c>
      <c r="AC4" t="s">
        <v>5</v>
      </c>
      <c r="AE4" t="s">
        <v>4</v>
      </c>
      <c r="AF4" t="s">
        <v>5</v>
      </c>
      <c r="AI4" t="s">
        <v>4</v>
      </c>
      <c r="AJ4" t="s">
        <v>5</v>
      </c>
      <c r="AM4" t="s">
        <v>4</v>
      </c>
      <c r="AN4" t="s">
        <v>5</v>
      </c>
      <c r="AQ4" t="s">
        <v>4</v>
      </c>
      <c r="AR4" t="s">
        <v>5</v>
      </c>
      <c r="AU4" t="s">
        <v>4</v>
      </c>
      <c r="AV4" t="s">
        <v>5</v>
      </c>
      <c r="AX4" t="s">
        <v>4</v>
      </c>
      <c r="AY4" t="s">
        <v>5</v>
      </c>
      <c r="BA4" t="s">
        <v>4</v>
      </c>
      <c r="BB4" t="s">
        <v>5</v>
      </c>
      <c r="BD4" t="s">
        <v>4</v>
      </c>
      <c r="BE4" t="s">
        <v>5</v>
      </c>
      <c r="BG4" t="s">
        <v>4</v>
      </c>
      <c r="BH4" t="s">
        <v>5</v>
      </c>
      <c r="BJ4" t="s">
        <v>4</v>
      </c>
      <c r="BK4" t="s">
        <v>5</v>
      </c>
      <c r="BM4" t="s">
        <v>4</v>
      </c>
      <c r="BN4" t="s">
        <v>5</v>
      </c>
      <c r="BP4" t="s">
        <v>4</v>
      </c>
      <c r="BQ4" t="s">
        <v>5</v>
      </c>
      <c r="BS4" t="s">
        <v>4</v>
      </c>
      <c r="BT4" t="s">
        <v>5</v>
      </c>
      <c r="BV4" t="s">
        <v>4</v>
      </c>
      <c r="BW4" t="s">
        <v>5</v>
      </c>
      <c r="BY4" t="s">
        <v>4</v>
      </c>
      <c r="BZ4" t="s">
        <v>5</v>
      </c>
      <c r="CB4" t="s">
        <v>4</v>
      </c>
      <c r="CC4" t="s">
        <v>5</v>
      </c>
      <c r="CE4" t="s">
        <v>4</v>
      </c>
      <c r="CF4" t="s">
        <v>5</v>
      </c>
      <c r="CH4" t="s">
        <v>4</v>
      </c>
      <c r="CI4" t="s">
        <v>5</v>
      </c>
      <c r="CK4" t="s">
        <v>4</v>
      </c>
      <c r="CL4" t="s">
        <v>5</v>
      </c>
      <c r="CN4" t="s">
        <v>4</v>
      </c>
      <c r="CO4" t="s">
        <v>5</v>
      </c>
      <c r="CQ4" t="s">
        <v>4</v>
      </c>
      <c r="CR4" t="s">
        <v>5</v>
      </c>
      <c r="CT4" t="s">
        <v>4</v>
      </c>
      <c r="CU4" t="s">
        <v>5</v>
      </c>
      <c r="CW4" t="s">
        <v>4</v>
      </c>
      <c r="CX4" t="s">
        <v>5</v>
      </c>
      <c r="CZ4" t="s">
        <v>4</v>
      </c>
      <c r="DA4" t="s">
        <v>5</v>
      </c>
      <c r="DC4" t="s">
        <v>4</v>
      </c>
      <c r="DD4" t="s">
        <v>5</v>
      </c>
      <c r="DG4" t="s">
        <v>4</v>
      </c>
      <c r="DH4" t="s">
        <v>5</v>
      </c>
      <c r="DK4" t="s">
        <v>4</v>
      </c>
      <c r="DL4" t="s">
        <v>5</v>
      </c>
      <c r="DO4" t="s">
        <v>4</v>
      </c>
      <c r="DP4" t="s">
        <v>5</v>
      </c>
      <c r="DR4" t="s">
        <v>4</v>
      </c>
      <c r="DS4" t="s">
        <v>5</v>
      </c>
      <c r="DU4" t="s">
        <v>4</v>
      </c>
      <c r="DV4" t="s">
        <v>5</v>
      </c>
      <c r="DX4" t="s">
        <v>4</v>
      </c>
      <c r="DY4" t="s">
        <v>5</v>
      </c>
      <c r="EA4" t="s">
        <v>4</v>
      </c>
      <c r="EB4" t="s">
        <v>5</v>
      </c>
      <c r="ED4" t="s">
        <v>4</v>
      </c>
      <c r="EE4" t="s">
        <v>5</v>
      </c>
      <c r="EG4" t="s">
        <v>4</v>
      </c>
      <c r="EH4" t="s">
        <v>5</v>
      </c>
      <c r="EJ4" t="s">
        <v>4</v>
      </c>
      <c r="EK4" t="s">
        <v>5</v>
      </c>
      <c r="EM4" t="s">
        <v>4</v>
      </c>
      <c r="EN4" t="s">
        <v>5</v>
      </c>
      <c r="EP4" t="s">
        <v>4</v>
      </c>
      <c r="EQ4" t="s">
        <v>5</v>
      </c>
      <c r="ES4" t="s">
        <v>4</v>
      </c>
      <c r="ET4" t="s">
        <v>5</v>
      </c>
      <c r="EV4" t="s">
        <v>4</v>
      </c>
      <c r="EW4" t="s">
        <v>5</v>
      </c>
      <c r="EZ4" t="s">
        <v>4</v>
      </c>
      <c r="FA4" t="s">
        <v>5</v>
      </c>
      <c r="FC4" t="s">
        <v>4</v>
      </c>
      <c r="FD4" t="s">
        <v>5</v>
      </c>
      <c r="FF4" t="s">
        <v>4</v>
      </c>
      <c r="FG4" t="s">
        <v>5</v>
      </c>
      <c r="FI4" t="s">
        <v>4</v>
      </c>
      <c r="FJ4" t="s">
        <v>5</v>
      </c>
      <c r="FL4" t="s">
        <v>4</v>
      </c>
      <c r="FM4" t="s">
        <v>5</v>
      </c>
      <c r="FO4" t="s">
        <v>4</v>
      </c>
      <c r="FP4" t="s">
        <v>5</v>
      </c>
      <c r="FR4" t="s">
        <v>4</v>
      </c>
      <c r="FS4" t="s">
        <v>5</v>
      </c>
      <c r="FU4" t="s">
        <v>4</v>
      </c>
      <c r="FV4" t="s">
        <v>5</v>
      </c>
      <c r="FX4" t="s">
        <v>4</v>
      </c>
      <c r="FY4" t="s">
        <v>5</v>
      </c>
      <c r="GA4" t="s">
        <v>4</v>
      </c>
      <c r="GB4" t="s">
        <v>5</v>
      </c>
      <c r="GE4" t="s">
        <v>4</v>
      </c>
      <c r="GF4" t="s">
        <v>5</v>
      </c>
      <c r="GH4" t="s">
        <v>4</v>
      </c>
      <c r="GI4" t="s">
        <v>5</v>
      </c>
      <c r="GL4" t="s">
        <v>4</v>
      </c>
      <c r="GM4" t="s">
        <v>5</v>
      </c>
      <c r="GO4" t="s">
        <v>4</v>
      </c>
      <c r="GP4" t="s">
        <v>5</v>
      </c>
    </row>
    <row r="5" spans="1:199" x14ac:dyDescent="0.3">
      <c r="B5" t="s">
        <v>70</v>
      </c>
      <c r="C5" t="s">
        <v>108</v>
      </c>
      <c r="E5" t="s">
        <v>70</v>
      </c>
      <c r="F5" t="s">
        <v>108</v>
      </c>
      <c r="H5" t="s">
        <v>70</v>
      </c>
      <c r="I5" t="s">
        <v>92</v>
      </c>
      <c r="L5" t="s">
        <v>26</v>
      </c>
      <c r="M5">
        <v>0.01</v>
      </c>
      <c r="P5" t="s">
        <v>26</v>
      </c>
      <c r="Q5">
        <v>0.01</v>
      </c>
      <c r="T5" t="s">
        <v>70</v>
      </c>
      <c r="U5" t="s">
        <v>71</v>
      </c>
      <c r="X5" t="s">
        <v>70</v>
      </c>
      <c r="Y5" t="s">
        <v>71</v>
      </c>
      <c r="AB5" t="s">
        <v>26</v>
      </c>
      <c r="AC5">
        <v>0.01</v>
      </c>
      <c r="AE5" t="s">
        <v>70</v>
      </c>
      <c r="AF5" t="s">
        <v>71</v>
      </c>
      <c r="AI5" t="s">
        <v>70</v>
      </c>
      <c r="AJ5" t="s">
        <v>71</v>
      </c>
      <c r="AM5" t="s">
        <v>70</v>
      </c>
      <c r="AN5" t="s">
        <v>71</v>
      </c>
      <c r="AQ5" t="s">
        <v>70</v>
      </c>
      <c r="AR5" t="s">
        <v>71</v>
      </c>
      <c r="AU5" t="s">
        <v>70</v>
      </c>
      <c r="AV5" t="s">
        <v>76</v>
      </c>
      <c r="AX5" t="s">
        <v>70</v>
      </c>
      <c r="AY5" t="s">
        <v>76</v>
      </c>
      <c r="BA5" t="s">
        <v>70</v>
      </c>
      <c r="BB5" t="s">
        <v>76</v>
      </c>
      <c r="BD5" t="s">
        <v>70</v>
      </c>
      <c r="BE5" t="s">
        <v>76</v>
      </c>
      <c r="BG5" t="s">
        <v>70</v>
      </c>
      <c r="BH5" t="s">
        <v>76</v>
      </c>
      <c r="BJ5" t="s">
        <v>70</v>
      </c>
      <c r="BK5" t="s">
        <v>76</v>
      </c>
      <c r="BM5" t="s">
        <v>70</v>
      </c>
      <c r="BN5" t="s">
        <v>76</v>
      </c>
      <c r="BP5" t="s">
        <v>70</v>
      </c>
      <c r="BQ5" t="s">
        <v>76</v>
      </c>
      <c r="BS5" t="s">
        <v>70</v>
      </c>
      <c r="BT5" t="s">
        <v>76</v>
      </c>
      <c r="BV5" t="s">
        <v>70</v>
      </c>
      <c r="BW5" t="s">
        <v>76</v>
      </c>
      <c r="BY5" t="s">
        <v>70</v>
      </c>
      <c r="BZ5" t="s">
        <v>76</v>
      </c>
      <c r="CB5" t="s">
        <v>70</v>
      </c>
      <c r="CC5" t="s">
        <v>76</v>
      </c>
      <c r="CE5" t="s">
        <v>70</v>
      </c>
      <c r="CF5" t="s">
        <v>88</v>
      </c>
      <c r="CH5" t="s">
        <v>70</v>
      </c>
      <c r="CI5" t="s">
        <v>88</v>
      </c>
      <c r="CK5" t="s">
        <v>70</v>
      </c>
      <c r="CL5" t="s">
        <v>88</v>
      </c>
      <c r="CN5" t="s">
        <v>70</v>
      </c>
      <c r="CO5" t="s">
        <v>88</v>
      </c>
      <c r="CQ5" t="s">
        <v>70</v>
      </c>
      <c r="CR5" t="s">
        <v>88</v>
      </c>
      <c r="CT5" t="s">
        <v>70</v>
      </c>
      <c r="CU5" t="s">
        <v>92</v>
      </c>
      <c r="CW5" t="s">
        <v>70</v>
      </c>
      <c r="CX5" t="s">
        <v>97</v>
      </c>
      <c r="CZ5" t="s">
        <v>70</v>
      </c>
      <c r="DA5" t="s">
        <v>96</v>
      </c>
      <c r="DC5" t="s">
        <v>70</v>
      </c>
      <c r="DD5" t="s">
        <v>99</v>
      </c>
      <c r="DG5" t="s">
        <v>70</v>
      </c>
      <c r="DH5" t="s">
        <v>99</v>
      </c>
      <c r="DK5" t="s">
        <v>70</v>
      </c>
      <c r="DL5" t="s">
        <v>99</v>
      </c>
      <c r="DO5" t="s">
        <v>70</v>
      </c>
      <c r="DP5" t="s">
        <v>117</v>
      </c>
      <c r="DR5" t="s">
        <v>70</v>
      </c>
      <c r="DS5" t="s">
        <v>117</v>
      </c>
      <c r="DU5" t="s">
        <v>70</v>
      </c>
      <c r="DV5" t="s">
        <v>117</v>
      </c>
      <c r="DX5" t="s">
        <v>70</v>
      </c>
      <c r="DY5" t="s">
        <v>117</v>
      </c>
      <c r="EA5" t="s">
        <v>70</v>
      </c>
      <c r="EB5" t="s">
        <v>117</v>
      </c>
      <c r="ED5" t="s">
        <v>70</v>
      </c>
      <c r="EE5" t="s">
        <v>117</v>
      </c>
      <c r="EG5" t="s">
        <v>70</v>
      </c>
      <c r="EH5" t="s">
        <v>117</v>
      </c>
      <c r="EJ5" t="s">
        <v>70</v>
      </c>
      <c r="EK5" t="s">
        <v>117</v>
      </c>
      <c r="EM5" t="s">
        <v>70</v>
      </c>
      <c r="EN5" t="s">
        <v>117</v>
      </c>
      <c r="EP5" t="s">
        <v>70</v>
      </c>
      <c r="EQ5" t="s">
        <v>117</v>
      </c>
      <c r="ES5" t="s">
        <v>70</v>
      </c>
      <c r="ET5" t="s">
        <v>117</v>
      </c>
      <c r="EV5" t="s">
        <v>70</v>
      </c>
      <c r="EW5" t="s">
        <v>117</v>
      </c>
      <c r="EZ5" t="s">
        <v>70</v>
      </c>
      <c r="FA5" t="s">
        <v>117</v>
      </c>
      <c r="FC5" t="s">
        <v>70</v>
      </c>
      <c r="FD5" t="s">
        <v>117</v>
      </c>
      <c r="FF5" t="s">
        <v>70</v>
      </c>
      <c r="FG5" t="s">
        <v>117</v>
      </c>
      <c r="FI5" t="s">
        <v>70</v>
      </c>
      <c r="FJ5" t="s">
        <v>117</v>
      </c>
      <c r="FL5" t="s">
        <v>70</v>
      </c>
      <c r="FM5" t="s">
        <v>117</v>
      </c>
      <c r="FO5" t="s">
        <v>70</v>
      </c>
      <c r="FP5" t="s">
        <v>117</v>
      </c>
      <c r="FR5" t="s">
        <v>70</v>
      </c>
      <c r="FS5" t="s">
        <v>117</v>
      </c>
      <c r="FU5" t="s">
        <v>70</v>
      </c>
      <c r="FV5" t="s">
        <v>117</v>
      </c>
      <c r="FX5" t="s">
        <v>70</v>
      </c>
      <c r="FY5" t="s">
        <v>117</v>
      </c>
      <c r="GA5" t="s">
        <v>70</v>
      </c>
      <c r="GB5" t="s">
        <v>117</v>
      </c>
      <c r="GE5" t="s">
        <v>70</v>
      </c>
      <c r="GF5" t="s">
        <v>117</v>
      </c>
      <c r="GH5" t="s">
        <v>70</v>
      </c>
      <c r="GI5" t="s">
        <v>117</v>
      </c>
      <c r="GL5" t="s">
        <v>70</v>
      </c>
      <c r="GM5" t="s">
        <v>117</v>
      </c>
      <c r="GO5" t="s">
        <v>70</v>
      </c>
      <c r="GP5" t="s">
        <v>117</v>
      </c>
    </row>
    <row r="6" spans="1:199" x14ac:dyDescent="0.3">
      <c r="U6" t="s">
        <v>72</v>
      </c>
      <c r="Y6" t="s">
        <v>72</v>
      </c>
      <c r="AF6" t="s">
        <v>72</v>
      </c>
      <c r="AJ6" t="s">
        <v>72</v>
      </c>
      <c r="AN6" t="s">
        <v>72</v>
      </c>
      <c r="AR6" t="s">
        <v>75</v>
      </c>
      <c r="AV6" t="s">
        <v>75</v>
      </c>
      <c r="AY6" t="s">
        <v>75</v>
      </c>
      <c r="BB6" t="s">
        <v>75</v>
      </c>
      <c r="BE6" t="s">
        <v>75</v>
      </c>
      <c r="BH6" t="s">
        <v>75</v>
      </c>
      <c r="BK6" t="s">
        <v>75</v>
      </c>
      <c r="BN6" t="s">
        <v>75</v>
      </c>
      <c r="BQ6" t="s">
        <v>75</v>
      </c>
      <c r="BT6" t="s">
        <v>75</v>
      </c>
      <c r="BW6" t="s">
        <v>75</v>
      </c>
      <c r="BZ6" t="s">
        <v>75</v>
      </c>
      <c r="CC6" t="s">
        <v>75</v>
      </c>
    </row>
    <row r="7" spans="1:199" ht="15" thickBot="1" x14ac:dyDescent="0.35">
      <c r="A7" t="s">
        <v>118</v>
      </c>
      <c r="I7" t="s">
        <v>73</v>
      </c>
      <c r="U7" t="s">
        <v>73</v>
      </c>
      <c r="Y7" t="s">
        <v>74</v>
      </c>
      <c r="AF7" t="s">
        <v>73</v>
      </c>
      <c r="AJ7" t="s">
        <v>74</v>
      </c>
      <c r="AN7" t="s">
        <v>73</v>
      </c>
      <c r="AR7" t="s">
        <v>73</v>
      </c>
      <c r="AV7" t="s">
        <v>73</v>
      </c>
      <c r="AY7" t="s">
        <v>74</v>
      </c>
      <c r="BB7" t="s">
        <v>73</v>
      </c>
      <c r="BE7" t="s">
        <v>73</v>
      </c>
      <c r="BH7" t="s">
        <v>73</v>
      </c>
      <c r="BK7" t="s">
        <v>73</v>
      </c>
      <c r="BN7" t="s">
        <v>73</v>
      </c>
      <c r="BQ7" t="s">
        <v>73</v>
      </c>
      <c r="BT7" t="s">
        <v>73</v>
      </c>
      <c r="BW7" t="s">
        <v>73</v>
      </c>
      <c r="BZ7" t="s">
        <v>73</v>
      </c>
      <c r="CC7" t="s">
        <v>73</v>
      </c>
      <c r="CF7" t="s">
        <v>74</v>
      </c>
      <c r="CI7" t="s">
        <v>73</v>
      </c>
      <c r="CL7" t="s">
        <v>73</v>
      </c>
      <c r="CO7" t="s">
        <v>73</v>
      </c>
      <c r="CR7" t="s">
        <v>73</v>
      </c>
      <c r="CU7" t="s">
        <v>73</v>
      </c>
      <c r="CX7" t="s">
        <v>73</v>
      </c>
      <c r="DA7" t="s">
        <v>73</v>
      </c>
      <c r="DD7" t="s">
        <v>73</v>
      </c>
      <c r="DH7" t="s">
        <v>73</v>
      </c>
      <c r="DL7" t="s">
        <v>73</v>
      </c>
      <c r="DP7" t="s">
        <v>73</v>
      </c>
      <c r="DS7" t="s">
        <v>73</v>
      </c>
      <c r="DV7" t="s">
        <v>73</v>
      </c>
      <c r="DY7" t="s">
        <v>73</v>
      </c>
      <c r="EB7" t="s">
        <v>73</v>
      </c>
      <c r="EE7" t="s">
        <v>73</v>
      </c>
      <c r="EH7" t="s">
        <v>73</v>
      </c>
      <c r="EK7" t="s">
        <v>73</v>
      </c>
      <c r="EN7" t="s">
        <v>73</v>
      </c>
      <c r="EQ7" t="s">
        <v>73</v>
      </c>
      <c r="ET7" t="s">
        <v>73</v>
      </c>
      <c r="EW7" t="s">
        <v>73</v>
      </c>
      <c r="FA7" t="s">
        <v>73</v>
      </c>
      <c r="FD7" t="s">
        <v>73</v>
      </c>
      <c r="FG7" t="s">
        <v>73</v>
      </c>
      <c r="FJ7" t="s">
        <v>73</v>
      </c>
      <c r="FM7" t="s">
        <v>73</v>
      </c>
      <c r="FP7" t="s">
        <v>73</v>
      </c>
      <c r="FS7" t="s">
        <v>73</v>
      </c>
      <c r="FV7" t="s">
        <v>73</v>
      </c>
      <c r="FY7" t="s">
        <v>73</v>
      </c>
      <c r="GB7" t="s">
        <v>73</v>
      </c>
      <c r="GF7" t="s">
        <v>73</v>
      </c>
      <c r="GI7" t="s">
        <v>73</v>
      </c>
      <c r="GM7" t="s">
        <v>73</v>
      </c>
      <c r="GP7" t="s">
        <v>73</v>
      </c>
    </row>
    <row r="8" spans="1:199" ht="15" thickBot="1" x14ac:dyDescent="0.35">
      <c r="A8" s="18">
        <v>280</v>
      </c>
      <c r="B8" s="1" t="s">
        <v>6</v>
      </c>
      <c r="C8" s="13">
        <v>0.77969502407704705</v>
      </c>
      <c r="E8" s="1" t="s">
        <v>6</v>
      </c>
      <c r="F8" s="13">
        <v>0.96589085072231096</v>
      </c>
      <c r="H8" s="1" t="s">
        <v>6</v>
      </c>
      <c r="I8" s="23">
        <v>0.99518459069020904</v>
      </c>
      <c r="L8" s="1" t="s">
        <v>6</v>
      </c>
      <c r="M8" s="13">
        <v>0.86717495987158899</v>
      </c>
      <c r="N8" s="3"/>
      <c r="P8" s="1" t="s">
        <v>6</v>
      </c>
      <c r="Q8" s="13">
        <v>0.96789727126805802</v>
      </c>
      <c r="T8" s="1" t="s">
        <v>6</v>
      </c>
      <c r="U8" s="13">
        <v>0.99357945425361205</v>
      </c>
      <c r="X8" s="1" t="s">
        <v>6</v>
      </c>
      <c r="Y8" s="13">
        <v>0.96910112359550604</v>
      </c>
      <c r="AB8" s="1" t="s">
        <v>6</v>
      </c>
      <c r="AC8" s="13">
        <v>0.992776886035313</v>
      </c>
      <c r="AD8" s="3"/>
      <c r="AE8" s="1" t="s">
        <v>6</v>
      </c>
      <c r="AF8" s="13">
        <v>0.97191011235955105</v>
      </c>
      <c r="AH8" s="3"/>
      <c r="AI8" s="1" t="s">
        <v>6</v>
      </c>
      <c r="AJ8" s="13">
        <v>0.99157303370786498</v>
      </c>
      <c r="AM8" s="1" t="s">
        <v>6</v>
      </c>
      <c r="AN8" s="13">
        <v>0.97191011235955105</v>
      </c>
      <c r="AQ8" s="1" t="s">
        <v>6</v>
      </c>
      <c r="AR8" s="13">
        <v>0.96548956661316199</v>
      </c>
      <c r="AU8" s="1" t="s">
        <v>6</v>
      </c>
      <c r="AV8" s="13">
        <v>0.97552166934189399</v>
      </c>
      <c r="AX8" s="1" t="s">
        <v>6</v>
      </c>
      <c r="AY8" s="13">
        <v>0.99398073836276102</v>
      </c>
      <c r="BA8" s="1" t="s">
        <v>6</v>
      </c>
      <c r="BB8" s="13">
        <v>0.97672552166934201</v>
      </c>
      <c r="BD8" s="1" t="s">
        <v>6</v>
      </c>
      <c r="BE8" s="13">
        <v>0.97632423756019304</v>
      </c>
      <c r="BG8" s="1" t="s">
        <v>6</v>
      </c>
      <c r="BH8" s="13">
        <v>0.97512038523274502</v>
      </c>
      <c r="BJ8" s="1" t="s">
        <v>6</v>
      </c>
      <c r="BK8" s="13">
        <v>0.97512038523274502</v>
      </c>
      <c r="BM8" s="1" t="s">
        <v>6</v>
      </c>
      <c r="BN8" s="13">
        <v>0.96869983948635596</v>
      </c>
      <c r="BP8" s="1" t="s">
        <v>6</v>
      </c>
      <c r="BQ8" s="13">
        <v>0.97070626003210303</v>
      </c>
      <c r="BR8" s="3"/>
      <c r="BS8" s="1" t="s">
        <v>6</v>
      </c>
      <c r="BT8" s="13">
        <v>0.98595505617977497</v>
      </c>
      <c r="BV8" s="1" t="s">
        <v>6</v>
      </c>
      <c r="BW8" s="13">
        <v>0.96227929373996801</v>
      </c>
      <c r="BY8" s="1" t="s">
        <v>6</v>
      </c>
      <c r="BZ8" s="13">
        <v>0.95385232744783299</v>
      </c>
      <c r="CB8" s="1" t="s">
        <v>6</v>
      </c>
      <c r="CC8" s="13">
        <v>0.88282504012841101</v>
      </c>
      <c r="CE8" s="1" t="s">
        <v>6</v>
      </c>
      <c r="CF8" s="13">
        <v>0.99398073836276102</v>
      </c>
      <c r="CH8" s="1" t="s">
        <v>6</v>
      </c>
      <c r="CI8" s="13">
        <v>0.992776886035313</v>
      </c>
      <c r="CK8" s="1" t="s">
        <v>6</v>
      </c>
      <c r="CL8" s="13">
        <v>0.99157303370786498</v>
      </c>
      <c r="CN8" s="1" t="s">
        <v>6</v>
      </c>
      <c r="CO8" s="13">
        <v>0.99157303370786498</v>
      </c>
      <c r="CQ8" s="1" t="s">
        <v>6</v>
      </c>
      <c r="CR8" s="13">
        <v>0.98434991974317798</v>
      </c>
      <c r="CT8" s="1" t="s">
        <v>6</v>
      </c>
      <c r="CU8" s="13">
        <v>0.98876404494381998</v>
      </c>
      <c r="CV8" s="3"/>
      <c r="CW8" s="1" t="s">
        <v>6</v>
      </c>
      <c r="CX8" s="22">
        <v>0.98394863563402901</v>
      </c>
      <c r="CY8" s="3"/>
      <c r="CZ8" s="1" t="s">
        <v>6</v>
      </c>
      <c r="DA8" s="22">
        <v>0.98756019261637196</v>
      </c>
      <c r="DB8" s="3"/>
      <c r="DC8" s="1" t="s">
        <v>6</v>
      </c>
      <c r="DD8" s="13">
        <v>0.98836276083467101</v>
      </c>
      <c r="DE8" s="3"/>
      <c r="DG8" s="1" t="s">
        <v>6</v>
      </c>
      <c r="DH8" s="28">
        <v>0.99799357945425404</v>
      </c>
      <c r="DI8" s="3"/>
      <c r="DK8" s="1" t="s">
        <v>6</v>
      </c>
      <c r="DL8" s="28">
        <v>0.99558587479935801</v>
      </c>
      <c r="DM8" s="3"/>
      <c r="DO8" s="1" t="s">
        <v>6</v>
      </c>
      <c r="DP8" s="28">
        <v>1</v>
      </c>
      <c r="DQ8" s="3"/>
      <c r="DR8" s="1" t="s">
        <v>6</v>
      </c>
      <c r="DS8" s="27">
        <v>0.99959871589085103</v>
      </c>
      <c r="DU8" s="1" t="s">
        <v>6</v>
      </c>
      <c r="DV8" s="22">
        <v>0.99919743178170095</v>
      </c>
      <c r="DX8" s="1" t="s">
        <v>6</v>
      </c>
      <c r="DY8" s="22">
        <v>0.99478330658105896</v>
      </c>
      <c r="DZ8" s="3"/>
      <c r="EA8" s="1" t="s">
        <v>6</v>
      </c>
      <c r="EB8" s="22">
        <v>0.99638844301765706</v>
      </c>
      <c r="EC8" s="3"/>
      <c r="ED8" s="1" t="s">
        <v>6</v>
      </c>
      <c r="EE8" s="22">
        <v>0.98595505617977497</v>
      </c>
      <c r="EF8" s="21"/>
      <c r="EG8" s="1" t="s">
        <v>6</v>
      </c>
      <c r="EH8" s="13">
        <v>0.97552166934189399</v>
      </c>
      <c r="EI8" s="3"/>
      <c r="EJ8" s="1" t="s">
        <v>6</v>
      </c>
      <c r="EK8" s="13">
        <v>0.98796147672552204</v>
      </c>
      <c r="EL8" s="3"/>
      <c r="EM8" s="1" t="s">
        <v>6</v>
      </c>
      <c r="EN8" s="22">
        <v>0.97632423756019304</v>
      </c>
      <c r="EO8" s="3"/>
      <c r="EP8" s="1" t="s">
        <v>6</v>
      </c>
      <c r="EQ8" s="22">
        <v>0.97752808988764095</v>
      </c>
      <c r="ER8" s="3"/>
      <c r="ES8" s="1" t="s">
        <v>6</v>
      </c>
      <c r="ET8" s="20">
        <v>0.971107544141252</v>
      </c>
      <c r="EU8" s="3">
        <v>0.98675762439807402</v>
      </c>
      <c r="EV8" s="1" t="s">
        <v>6</v>
      </c>
      <c r="EW8" s="13">
        <v>0.98434991974317798</v>
      </c>
      <c r="EX8" s="3"/>
      <c r="EZ8" s="1" t="s">
        <v>6</v>
      </c>
      <c r="FA8" s="13">
        <v>0.98996789727126799</v>
      </c>
      <c r="FB8" s="3"/>
      <c r="FC8" s="1" t="s">
        <v>6</v>
      </c>
      <c r="FD8" s="22">
        <v>0.98996789727126799</v>
      </c>
      <c r="FE8" s="3"/>
      <c r="FF8" s="1" t="s">
        <v>6</v>
      </c>
      <c r="FG8" s="23">
        <v>0.98996789727126799</v>
      </c>
      <c r="FH8" s="4"/>
      <c r="FI8" s="1" t="s">
        <v>6</v>
      </c>
      <c r="FJ8" s="13">
        <v>0.98956661316211902</v>
      </c>
      <c r="FK8" s="4"/>
      <c r="FL8" s="1" t="s">
        <v>6</v>
      </c>
      <c r="FM8" s="23">
        <v>0.98956661316211902</v>
      </c>
      <c r="FN8" s="4"/>
      <c r="FO8" s="1" t="s">
        <v>6</v>
      </c>
      <c r="FP8" s="23">
        <v>0.98715890850722299</v>
      </c>
      <c r="FQ8" s="4"/>
      <c r="FR8" s="1" t="s">
        <v>6</v>
      </c>
      <c r="FS8" s="22">
        <v>0.98595505617977497</v>
      </c>
      <c r="FT8" s="4"/>
      <c r="FU8" s="1" t="s">
        <v>6</v>
      </c>
      <c r="FV8" s="26">
        <v>1</v>
      </c>
      <c r="FW8" s="4"/>
      <c r="FX8" s="1" t="s">
        <v>6</v>
      </c>
      <c r="FY8" s="23">
        <v>0.98635634028892505</v>
      </c>
      <c r="FZ8" s="4"/>
      <c r="GA8" s="1" t="s">
        <v>6</v>
      </c>
      <c r="GB8" s="23">
        <v>0.94783306581059401</v>
      </c>
      <c r="GC8" s="4"/>
      <c r="GE8" s="1" t="s">
        <v>6</v>
      </c>
      <c r="GF8" s="23">
        <v>0.98916532905296894</v>
      </c>
      <c r="GG8" s="4"/>
      <c r="GH8" s="1" t="s">
        <v>6</v>
      </c>
      <c r="GI8" s="23">
        <v>0.98916532905296894</v>
      </c>
      <c r="GJ8" s="4"/>
      <c r="GL8" s="1" t="s">
        <v>6</v>
      </c>
      <c r="GM8" s="23">
        <v>0.99036918138041696</v>
      </c>
      <c r="GN8" s="4"/>
      <c r="GO8" s="1" t="s">
        <v>6</v>
      </c>
      <c r="GP8" s="23">
        <v>0.98876404494381998</v>
      </c>
      <c r="GQ8" s="4"/>
    </row>
    <row r="9" spans="1:199" ht="15" thickBot="1" x14ac:dyDescent="0.35">
      <c r="A9" s="19">
        <v>264</v>
      </c>
      <c r="B9" s="1" t="s">
        <v>7</v>
      </c>
      <c r="C9" s="13">
        <v>0.53717627401837897</v>
      </c>
      <c r="E9" s="1" t="s">
        <v>7</v>
      </c>
      <c r="F9" s="13">
        <v>0.76357560568086902</v>
      </c>
      <c r="H9" s="1" t="s">
        <v>7</v>
      </c>
      <c r="I9" s="23">
        <v>0.95405179615705904</v>
      </c>
      <c r="L9" s="1" t="s">
        <v>7</v>
      </c>
      <c r="M9" s="13">
        <v>0.88137009189640803</v>
      </c>
      <c r="N9" s="3"/>
      <c r="P9" s="1" t="s">
        <v>7</v>
      </c>
      <c r="Q9" s="13">
        <v>0.94820384294068505</v>
      </c>
      <c r="T9" s="1" t="s">
        <v>7</v>
      </c>
      <c r="U9" s="13">
        <v>0.91144527986633195</v>
      </c>
      <c r="X9" s="1" t="s">
        <v>7</v>
      </c>
      <c r="Y9" s="13">
        <v>0.93149540517961604</v>
      </c>
      <c r="AB9" s="1" t="s">
        <v>7</v>
      </c>
      <c r="AC9" s="13">
        <v>0.82790309106098603</v>
      </c>
      <c r="AD9" s="3"/>
      <c r="AE9" s="1" t="s">
        <v>7</v>
      </c>
      <c r="AF9" s="13">
        <v>0.87301587301587302</v>
      </c>
      <c r="AH9" s="3"/>
      <c r="AI9" s="1" t="s">
        <v>7</v>
      </c>
      <c r="AJ9" s="13">
        <v>0.82205513784461204</v>
      </c>
      <c r="AM9" s="1" t="s">
        <v>7</v>
      </c>
      <c r="AN9" s="13">
        <v>0.87301587301587302</v>
      </c>
      <c r="AQ9" s="1" t="s">
        <v>7</v>
      </c>
      <c r="AR9" s="13">
        <v>0.83040935672514604</v>
      </c>
      <c r="AU9" s="1" t="s">
        <v>7</v>
      </c>
      <c r="AV9" s="13">
        <v>0.87552213868003403</v>
      </c>
      <c r="AX9" s="1" t="s">
        <v>7</v>
      </c>
      <c r="AY9" s="13">
        <v>0.82038429406850499</v>
      </c>
      <c r="BA9" s="1" t="s">
        <v>7</v>
      </c>
      <c r="BB9" s="13">
        <v>0.89223057644110304</v>
      </c>
      <c r="BD9" s="1" t="s">
        <v>7</v>
      </c>
      <c r="BE9" s="13">
        <v>0.89223057644110304</v>
      </c>
      <c r="BG9" s="1" t="s">
        <v>7</v>
      </c>
      <c r="BH9" s="13">
        <v>0.89390142021720997</v>
      </c>
      <c r="BJ9" s="1" t="s">
        <v>7</v>
      </c>
      <c r="BK9" s="13">
        <v>0.92481203007518797</v>
      </c>
      <c r="BM9" s="1" t="s">
        <v>7</v>
      </c>
      <c r="BN9" s="13">
        <v>0.90392648287385102</v>
      </c>
      <c r="BP9" s="1" t="s">
        <v>7</v>
      </c>
      <c r="BQ9" s="13">
        <v>0.90476190476190499</v>
      </c>
      <c r="BR9" s="3"/>
      <c r="BS9" s="1" t="s">
        <v>7</v>
      </c>
      <c r="BT9" s="13">
        <v>0.92815371762740195</v>
      </c>
      <c r="BV9" s="1" t="s">
        <v>7</v>
      </c>
      <c r="BW9" s="13">
        <v>0.93400167084377606</v>
      </c>
      <c r="BY9" s="1" t="s">
        <v>7</v>
      </c>
      <c r="BZ9" s="13">
        <v>0.89390142021720997</v>
      </c>
      <c r="CB9" s="1" t="s">
        <v>7</v>
      </c>
      <c r="CC9" s="13">
        <v>0.79949874686716804</v>
      </c>
      <c r="CE9" s="1" t="s">
        <v>7</v>
      </c>
      <c r="CF9" s="13">
        <v>0.95989974937343403</v>
      </c>
      <c r="CH9" s="1" t="s">
        <v>7</v>
      </c>
      <c r="CI9" s="13">
        <v>0.95989974937343403</v>
      </c>
      <c r="CK9" s="1" t="s">
        <v>7</v>
      </c>
      <c r="CL9" s="13">
        <v>0.96157059314954096</v>
      </c>
      <c r="CN9" s="1" t="s">
        <v>7</v>
      </c>
      <c r="CO9" s="13">
        <v>0.94903926482873902</v>
      </c>
      <c r="CQ9" s="1" t="s">
        <v>7</v>
      </c>
      <c r="CR9" s="13">
        <v>0.92063492063492103</v>
      </c>
      <c r="CT9" s="1" t="s">
        <v>7</v>
      </c>
      <c r="CU9" s="13">
        <v>0.94987468671679198</v>
      </c>
      <c r="CV9" s="3"/>
      <c r="CW9" s="1" t="s">
        <v>7</v>
      </c>
      <c r="CX9" s="22">
        <v>0.93400167084377606</v>
      </c>
      <c r="CY9" s="3"/>
      <c r="CZ9" s="1" t="s">
        <v>7</v>
      </c>
      <c r="DA9" s="22">
        <v>0.94402673350041799</v>
      </c>
      <c r="DB9" s="3"/>
      <c r="DC9" s="1" t="s">
        <v>7</v>
      </c>
      <c r="DD9" s="13">
        <v>0.95405179615705904</v>
      </c>
      <c r="DE9" s="3"/>
      <c r="DG9" s="1" t="s">
        <v>7</v>
      </c>
      <c r="DH9" s="13">
        <v>0.96992481203007497</v>
      </c>
      <c r="DI9" s="3"/>
      <c r="DK9" s="1" t="s">
        <v>7</v>
      </c>
      <c r="DL9" s="13">
        <v>0.96240601503759404</v>
      </c>
      <c r="DM9" s="3"/>
      <c r="DO9" s="1" t="s">
        <v>7</v>
      </c>
      <c r="DP9" s="13">
        <v>0.99498746867167898</v>
      </c>
      <c r="DQ9" s="3"/>
      <c r="DR9" s="1" t="s">
        <v>7</v>
      </c>
      <c r="DS9" s="27">
        <v>0.99665831244778602</v>
      </c>
      <c r="DU9" s="1" t="s">
        <v>7</v>
      </c>
      <c r="DV9" s="22">
        <v>0.99415204678362601</v>
      </c>
      <c r="DX9" s="1" t="s">
        <v>7</v>
      </c>
      <c r="DY9" s="22">
        <v>0.99081035923141203</v>
      </c>
      <c r="DZ9" s="3"/>
      <c r="EA9" s="1" t="s">
        <v>7</v>
      </c>
      <c r="EB9" s="22">
        <v>0.98913951545530499</v>
      </c>
      <c r="EC9" s="3"/>
      <c r="ED9" s="1" t="s">
        <v>7</v>
      </c>
      <c r="EE9" s="22">
        <v>0.91395154553049296</v>
      </c>
      <c r="EF9" s="21"/>
      <c r="EG9" s="1" t="s">
        <v>7</v>
      </c>
      <c r="EH9" s="13">
        <v>0.76775271512113596</v>
      </c>
      <c r="EI9" s="3"/>
      <c r="EJ9" s="1" t="s">
        <v>7</v>
      </c>
      <c r="EK9" s="13">
        <v>0.92230576441102796</v>
      </c>
      <c r="EL9" s="3"/>
      <c r="EM9" s="1" t="s">
        <v>7</v>
      </c>
      <c r="EN9" s="22">
        <v>0.91979949874686695</v>
      </c>
      <c r="EO9" s="3"/>
      <c r="EP9" s="1" t="s">
        <v>7</v>
      </c>
      <c r="EQ9" s="22">
        <v>0.91060985797827898</v>
      </c>
      <c r="ER9" s="3"/>
      <c r="ES9" s="1" t="s">
        <v>7</v>
      </c>
      <c r="ET9" s="20">
        <v>0.83792815371762697</v>
      </c>
      <c r="EU9" s="3">
        <v>0.86048454469507096</v>
      </c>
      <c r="EV9" s="1" t="s">
        <v>7</v>
      </c>
      <c r="EW9" s="13">
        <v>0.97076023391812905</v>
      </c>
      <c r="EX9" s="3"/>
      <c r="EZ9" s="1" t="s">
        <v>7</v>
      </c>
      <c r="FA9" s="13">
        <v>0.95655806182122005</v>
      </c>
      <c r="FB9" s="3"/>
      <c r="FC9" s="1" t="s">
        <v>7</v>
      </c>
      <c r="FD9" s="22">
        <v>0.96407685881370098</v>
      </c>
      <c r="FE9" s="3"/>
      <c r="FF9" s="1" t="s">
        <v>7</v>
      </c>
      <c r="FG9" s="23">
        <v>0.95822890559732699</v>
      </c>
      <c r="FH9" s="4"/>
      <c r="FI9" s="1" t="s">
        <v>7</v>
      </c>
      <c r="FJ9" s="13">
        <v>0.95989974937343403</v>
      </c>
      <c r="FK9" s="4"/>
      <c r="FL9" s="1" t="s">
        <v>7</v>
      </c>
      <c r="FM9" s="23">
        <v>0.97243107769423598</v>
      </c>
      <c r="FN9" s="4"/>
      <c r="FO9" s="1" t="s">
        <v>7</v>
      </c>
      <c r="FP9" s="23">
        <v>0.96574770258980802</v>
      </c>
      <c r="FQ9" s="4"/>
      <c r="FR9" s="1" t="s">
        <v>7</v>
      </c>
      <c r="FS9" s="22">
        <v>0.96741854636591496</v>
      </c>
      <c r="FT9" s="4"/>
      <c r="FU9" s="1" t="s">
        <v>7</v>
      </c>
      <c r="FV9" s="23">
        <v>0.98412698412698396</v>
      </c>
      <c r="FW9" s="4"/>
      <c r="FX9" s="1" t="s">
        <v>7</v>
      </c>
      <c r="FY9" s="23">
        <v>0.93149540517961604</v>
      </c>
      <c r="FZ9" s="4"/>
      <c r="GA9" s="1" t="s">
        <v>7</v>
      </c>
      <c r="GB9" s="23">
        <v>0.68337510442773597</v>
      </c>
      <c r="GC9" s="4"/>
      <c r="GE9" s="1" t="s">
        <v>7</v>
      </c>
      <c r="GF9" s="23">
        <v>0.96157059314954096</v>
      </c>
      <c r="GG9" s="4"/>
      <c r="GH9" s="1" t="s">
        <v>7</v>
      </c>
      <c r="GI9" s="23">
        <v>0.96157059314954096</v>
      </c>
      <c r="GJ9" s="4"/>
      <c r="GL9" s="1" t="s">
        <v>7</v>
      </c>
      <c r="GM9" s="23">
        <v>0.90476190476190499</v>
      </c>
      <c r="GN9" s="4"/>
      <c r="GO9" s="1" t="s">
        <v>7</v>
      </c>
      <c r="GP9" s="23">
        <v>0.96658312447786099</v>
      </c>
      <c r="GQ9" s="4"/>
    </row>
    <row r="10" spans="1:199" ht="15" thickBot="1" x14ac:dyDescent="0.35">
      <c r="A10" s="19">
        <v>245</v>
      </c>
      <c r="B10" s="1" t="s">
        <v>8</v>
      </c>
      <c r="C10" s="13">
        <v>0.82982336956521796</v>
      </c>
      <c r="E10" s="1" t="s">
        <v>8</v>
      </c>
      <c r="F10" s="13">
        <v>0.99082880434782605</v>
      </c>
      <c r="H10" s="1" t="s">
        <v>8</v>
      </c>
      <c r="I10" s="26">
        <v>1</v>
      </c>
      <c r="L10" s="1" t="s">
        <v>8</v>
      </c>
      <c r="M10" s="13">
        <v>0.98403532608695599</v>
      </c>
      <c r="N10" s="3"/>
      <c r="P10" s="1" t="s">
        <v>8</v>
      </c>
      <c r="Q10" s="28">
        <v>0.99864130434782605</v>
      </c>
      <c r="T10" s="1" t="s">
        <v>8</v>
      </c>
      <c r="U10" s="28">
        <v>0.99592391304347805</v>
      </c>
      <c r="X10" s="1" t="s">
        <v>8</v>
      </c>
      <c r="Y10" s="28">
        <v>0.99830163043478304</v>
      </c>
      <c r="AB10" s="1" t="s">
        <v>8</v>
      </c>
      <c r="AC10" s="28">
        <v>0.99898097826086996</v>
      </c>
      <c r="AD10" s="3"/>
      <c r="AE10" s="1" t="s">
        <v>8</v>
      </c>
      <c r="AF10" s="13">
        <v>0.99014945652173902</v>
      </c>
      <c r="AH10" s="3"/>
      <c r="AI10" s="1" t="s">
        <v>8</v>
      </c>
      <c r="AJ10" s="28">
        <v>0.997282608695652</v>
      </c>
      <c r="AM10" s="1" t="s">
        <v>8</v>
      </c>
      <c r="AN10" s="13">
        <v>0.99014945652173902</v>
      </c>
      <c r="AQ10" s="1" t="s">
        <v>8</v>
      </c>
      <c r="AR10" s="13">
        <v>0.99048913043478304</v>
      </c>
      <c r="AU10" s="1" t="s">
        <v>8</v>
      </c>
      <c r="AV10" s="28">
        <v>0.99558423913043503</v>
      </c>
      <c r="AX10" s="1" t="s">
        <v>8</v>
      </c>
      <c r="AY10" s="28">
        <v>0.99762228260869601</v>
      </c>
      <c r="BA10" s="1" t="s">
        <v>8</v>
      </c>
      <c r="BB10" s="28">
        <v>0.99626358695652195</v>
      </c>
      <c r="BD10" s="1" t="s">
        <v>8</v>
      </c>
      <c r="BE10" s="28">
        <v>0.99626358695652195</v>
      </c>
      <c r="BG10" s="1" t="s">
        <v>8</v>
      </c>
      <c r="BH10" s="28">
        <v>0.99592391304347805</v>
      </c>
      <c r="BJ10" s="1" t="s">
        <v>8</v>
      </c>
      <c r="BK10" s="28">
        <v>0.99558423913043503</v>
      </c>
      <c r="BM10" s="1" t="s">
        <v>8</v>
      </c>
      <c r="BN10" s="13">
        <v>0.99150815217391297</v>
      </c>
      <c r="BP10" s="1" t="s">
        <v>8</v>
      </c>
      <c r="BQ10" s="13">
        <v>0.9921875</v>
      </c>
      <c r="BR10" s="3"/>
      <c r="BS10" s="1" t="s">
        <v>8</v>
      </c>
      <c r="BT10" s="28">
        <v>0.99592391304347805</v>
      </c>
      <c r="BV10" s="1" t="s">
        <v>8</v>
      </c>
      <c r="BW10" s="13">
        <v>0.99082880434782605</v>
      </c>
      <c r="BY10" s="1" t="s">
        <v>8</v>
      </c>
      <c r="BZ10" s="13">
        <v>0.98641304347826098</v>
      </c>
      <c r="CB10" s="1" t="s">
        <v>8</v>
      </c>
      <c r="CC10" s="13">
        <v>0.973845108695652</v>
      </c>
      <c r="CE10" s="1" t="s">
        <v>8</v>
      </c>
      <c r="CF10" s="28">
        <v>0.997282608695652</v>
      </c>
      <c r="CH10" s="1" t="s">
        <v>8</v>
      </c>
      <c r="CI10" s="28">
        <v>0.99796195652173902</v>
      </c>
      <c r="CK10" s="1" t="s">
        <v>8</v>
      </c>
      <c r="CL10" s="28">
        <v>0.99830163043478304</v>
      </c>
      <c r="CN10" s="1" t="s">
        <v>8</v>
      </c>
      <c r="CO10" s="28">
        <v>0.99898097826086996</v>
      </c>
      <c r="CQ10" s="1" t="s">
        <v>8</v>
      </c>
      <c r="CR10" s="28">
        <v>0.99864130434782605</v>
      </c>
      <c r="CT10" s="1" t="s">
        <v>8</v>
      </c>
      <c r="CU10" s="28">
        <v>1</v>
      </c>
      <c r="CV10" s="3"/>
      <c r="CW10" s="1" t="s">
        <v>8</v>
      </c>
      <c r="CX10" s="27">
        <v>1</v>
      </c>
      <c r="CY10" s="3"/>
      <c r="CZ10" s="1" t="s">
        <v>8</v>
      </c>
      <c r="DA10" s="27">
        <v>1</v>
      </c>
      <c r="DB10" s="3"/>
      <c r="DC10" s="1" t="s">
        <v>8</v>
      </c>
      <c r="DD10" s="28">
        <v>1</v>
      </c>
      <c r="DE10" s="3"/>
      <c r="DG10" s="1" t="s">
        <v>8</v>
      </c>
      <c r="DH10" s="28">
        <v>1</v>
      </c>
      <c r="DI10" s="3"/>
      <c r="DK10" s="1" t="s">
        <v>8</v>
      </c>
      <c r="DL10" s="28">
        <v>1</v>
      </c>
      <c r="DM10" s="3"/>
      <c r="DO10" s="1" t="s">
        <v>8</v>
      </c>
      <c r="DP10" s="28">
        <v>0.99796195652173902</v>
      </c>
      <c r="DQ10" s="3"/>
      <c r="DR10" s="1" t="s">
        <v>8</v>
      </c>
      <c r="DS10" s="27">
        <v>0.99898097826086996</v>
      </c>
      <c r="DU10" s="1" t="s">
        <v>8</v>
      </c>
      <c r="DV10" s="22">
        <v>0.99966032608695699</v>
      </c>
      <c r="DX10" s="1" t="s">
        <v>8</v>
      </c>
      <c r="DY10" s="22">
        <v>0.99898097826086996</v>
      </c>
      <c r="DZ10" s="3"/>
      <c r="EA10" s="1" t="s">
        <v>8</v>
      </c>
      <c r="EB10" s="22">
        <v>0.99796195652173902</v>
      </c>
      <c r="EC10" s="3"/>
      <c r="ED10" s="1" t="s">
        <v>8</v>
      </c>
      <c r="EE10" s="22">
        <v>1</v>
      </c>
      <c r="EF10" s="21"/>
      <c r="EG10" s="1" t="s">
        <v>8</v>
      </c>
      <c r="EH10" s="28">
        <v>1</v>
      </c>
      <c r="EI10" s="3"/>
      <c r="EJ10" s="1" t="s">
        <v>8</v>
      </c>
      <c r="EK10" s="28">
        <v>1</v>
      </c>
      <c r="EL10" s="3"/>
      <c r="EM10" s="1" t="s">
        <v>8</v>
      </c>
      <c r="EN10" s="27">
        <v>1</v>
      </c>
      <c r="EO10" s="3"/>
      <c r="EP10" s="1" t="s">
        <v>8</v>
      </c>
      <c r="EQ10" s="27">
        <v>1</v>
      </c>
      <c r="ER10" s="3"/>
      <c r="ES10" s="1" t="s">
        <v>8</v>
      </c>
      <c r="ET10" s="29">
        <v>1</v>
      </c>
      <c r="EU10" s="3">
        <v>1</v>
      </c>
      <c r="EV10" s="1" t="s">
        <v>8</v>
      </c>
      <c r="EW10" s="13">
        <v>0.98539402173913004</v>
      </c>
      <c r="EX10" s="3"/>
      <c r="EZ10" s="1" t="s">
        <v>8</v>
      </c>
      <c r="FA10" s="28">
        <v>1</v>
      </c>
      <c r="FB10" s="3"/>
      <c r="FC10" s="1" t="s">
        <v>8</v>
      </c>
      <c r="FD10" s="27">
        <v>1</v>
      </c>
      <c r="FE10" s="3"/>
      <c r="FF10" s="1" t="s">
        <v>8</v>
      </c>
      <c r="FG10" s="26">
        <v>1</v>
      </c>
      <c r="FH10" s="4"/>
      <c r="FI10" s="1" t="s">
        <v>8</v>
      </c>
      <c r="FJ10" s="28">
        <v>1</v>
      </c>
      <c r="FK10" s="4"/>
      <c r="FL10" s="1" t="s">
        <v>8</v>
      </c>
      <c r="FM10" s="26">
        <v>1</v>
      </c>
      <c r="FN10" s="4"/>
      <c r="FO10" s="1" t="s">
        <v>8</v>
      </c>
      <c r="FP10" s="26">
        <v>1</v>
      </c>
      <c r="FQ10" s="4"/>
      <c r="FR10" s="1" t="s">
        <v>8</v>
      </c>
      <c r="FS10" s="27">
        <v>1</v>
      </c>
      <c r="FT10" s="4"/>
      <c r="FU10" s="1" t="s">
        <v>8</v>
      </c>
      <c r="FV10" s="23">
        <v>0.99966032608695699</v>
      </c>
      <c r="FW10" s="4"/>
      <c r="FX10" s="1" t="s">
        <v>8</v>
      </c>
      <c r="FY10" s="26">
        <v>1</v>
      </c>
      <c r="FZ10" s="4"/>
      <c r="GA10" s="1" t="s">
        <v>8</v>
      </c>
      <c r="GB10" s="23">
        <v>0.989470108695652</v>
      </c>
      <c r="GC10" s="4"/>
      <c r="GE10" s="1" t="s">
        <v>8</v>
      </c>
      <c r="GF10" s="23">
        <v>1</v>
      </c>
      <c r="GG10" s="4"/>
      <c r="GH10" s="1" t="s">
        <v>8</v>
      </c>
      <c r="GI10" s="23">
        <v>1</v>
      </c>
      <c r="GJ10" s="4"/>
      <c r="GL10" s="1" t="s">
        <v>8</v>
      </c>
      <c r="GM10" s="23">
        <v>1</v>
      </c>
      <c r="GN10" s="4"/>
      <c r="GO10" s="1" t="s">
        <v>8</v>
      </c>
      <c r="GP10" s="23">
        <v>1</v>
      </c>
      <c r="GQ10" s="4"/>
    </row>
    <row r="11" spans="1:199" ht="15" thickBot="1" x14ac:dyDescent="0.35">
      <c r="A11" s="19">
        <v>230</v>
      </c>
      <c r="B11" s="1" t="s">
        <v>9</v>
      </c>
      <c r="C11" s="13">
        <v>0.95526695526695504</v>
      </c>
      <c r="E11" s="1" t="s">
        <v>9</v>
      </c>
      <c r="F11" s="28">
        <v>0.98520923520923498</v>
      </c>
      <c r="H11" s="1" t="s">
        <v>9</v>
      </c>
      <c r="I11" s="23">
        <v>0.97943722943722999</v>
      </c>
      <c r="L11" s="1" t="s">
        <v>9</v>
      </c>
      <c r="M11" s="13">
        <v>0.88131313131313105</v>
      </c>
      <c r="N11" s="3"/>
      <c r="P11" s="1" t="s">
        <v>9</v>
      </c>
      <c r="Q11" s="13">
        <v>0.90151515151515205</v>
      </c>
      <c r="T11" s="1" t="s">
        <v>9</v>
      </c>
      <c r="U11" s="13">
        <v>0.94480519480519498</v>
      </c>
      <c r="X11" s="1" t="s">
        <v>9</v>
      </c>
      <c r="Y11" s="13">
        <v>0.93145743145743098</v>
      </c>
      <c r="AB11" s="1" t="s">
        <v>9</v>
      </c>
      <c r="AC11" s="13">
        <v>0.89285714285714302</v>
      </c>
      <c r="AD11" s="3"/>
      <c r="AE11" s="1" t="s">
        <v>9</v>
      </c>
      <c r="AF11" s="13">
        <v>0.93578643578643605</v>
      </c>
      <c r="AH11" s="3"/>
      <c r="AI11" s="1" t="s">
        <v>9</v>
      </c>
      <c r="AJ11" s="13">
        <v>0.96789321789321803</v>
      </c>
      <c r="AM11" s="1" t="s">
        <v>9</v>
      </c>
      <c r="AN11" s="13">
        <v>0.93578643578643605</v>
      </c>
      <c r="AQ11" s="1" t="s">
        <v>9</v>
      </c>
      <c r="AR11" s="13">
        <v>0.939393939393939</v>
      </c>
      <c r="AU11" s="1" t="s">
        <v>9</v>
      </c>
      <c r="AV11" s="13">
        <v>0.93001443001442996</v>
      </c>
      <c r="AX11" s="1" t="s">
        <v>9</v>
      </c>
      <c r="AY11" s="13">
        <v>0.95634920634920595</v>
      </c>
      <c r="BA11" s="1" t="s">
        <v>9</v>
      </c>
      <c r="BB11" s="13">
        <v>0.94083694083694103</v>
      </c>
      <c r="BD11" s="1" t="s">
        <v>9</v>
      </c>
      <c r="BE11" s="13">
        <v>0.94733044733044702</v>
      </c>
      <c r="BG11" s="1" t="s">
        <v>9</v>
      </c>
      <c r="BH11" s="13">
        <v>0.94552669552669499</v>
      </c>
      <c r="BJ11" s="1" t="s">
        <v>9</v>
      </c>
      <c r="BK11" s="13">
        <v>0.94336219336219296</v>
      </c>
      <c r="BM11" s="1" t="s">
        <v>9</v>
      </c>
      <c r="BN11" s="13">
        <v>0.94660894660894701</v>
      </c>
      <c r="BP11" s="1" t="s">
        <v>9</v>
      </c>
      <c r="BQ11" s="13">
        <v>0.93795093795093798</v>
      </c>
      <c r="BR11" s="3"/>
      <c r="BS11" s="1" t="s">
        <v>9</v>
      </c>
      <c r="BT11" s="13">
        <v>0.91847041847041799</v>
      </c>
      <c r="BV11" s="1" t="s">
        <v>9</v>
      </c>
      <c r="BW11" s="13">
        <v>0.90656565656565702</v>
      </c>
      <c r="BY11" s="1" t="s">
        <v>9</v>
      </c>
      <c r="BZ11" s="13">
        <v>0.89826839826839799</v>
      </c>
      <c r="CB11" s="1" t="s">
        <v>9</v>
      </c>
      <c r="CC11" s="13">
        <v>0.90909090909090895</v>
      </c>
      <c r="CE11" s="1" t="s">
        <v>9</v>
      </c>
      <c r="CF11" s="13">
        <v>0.93470418470418504</v>
      </c>
      <c r="CH11" s="1" t="s">
        <v>9</v>
      </c>
      <c r="CI11" s="13">
        <v>0.93650793650793596</v>
      </c>
      <c r="CK11" s="1" t="s">
        <v>9</v>
      </c>
      <c r="CL11" s="13">
        <v>0.93434343434343403</v>
      </c>
      <c r="CN11" s="1" t="s">
        <v>9</v>
      </c>
      <c r="CO11" s="13">
        <v>0.93362193362193402</v>
      </c>
      <c r="CQ11" s="1" t="s">
        <v>9</v>
      </c>
      <c r="CR11" s="13">
        <v>0.94119769119769103</v>
      </c>
      <c r="CT11" s="1" t="s">
        <v>9</v>
      </c>
      <c r="CU11" s="27">
        <v>0.99242424242424199</v>
      </c>
      <c r="CV11" s="3"/>
      <c r="CW11" s="1" t="s">
        <v>9</v>
      </c>
      <c r="CX11" s="27">
        <v>0.99422799422799402</v>
      </c>
      <c r="CY11" s="3"/>
      <c r="CZ11" s="1" t="s">
        <v>9</v>
      </c>
      <c r="DA11" s="27">
        <v>0.98773448773448802</v>
      </c>
      <c r="DB11" s="3"/>
      <c r="DC11" s="1" t="s">
        <v>9</v>
      </c>
      <c r="DD11" s="27">
        <v>0.98773448773448802</v>
      </c>
      <c r="DE11" s="3"/>
      <c r="DG11" s="1" t="s">
        <v>9</v>
      </c>
      <c r="DH11" s="13">
        <v>0.98304473304473305</v>
      </c>
      <c r="DI11" s="3"/>
      <c r="DK11" s="1" t="s">
        <v>9</v>
      </c>
      <c r="DL11" s="28">
        <v>0.986652236652237</v>
      </c>
      <c r="DM11" s="3"/>
      <c r="DO11" s="1" t="s">
        <v>9</v>
      </c>
      <c r="DP11" s="13">
        <v>0.97402597402597402</v>
      </c>
      <c r="DQ11" s="3"/>
      <c r="DR11" s="1" t="s">
        <v>9</v>
      </c>
      <c r="DS11" s="22">
        <v>0.96825396825396803</v>
      </c>
      <c r="DU11" s="1" t="s">
        <v>9</v>
      </c>
      <c r="DV11" s="22">
        <v>0.96753246753246802</v>
      </c>
      <c r="DX11" s="1" t="s">
        <v>9</v>
      </c>
      <c r="DY11" s="22">
        <v>0.96969696969696995</v>
      </c>
      <c r="DZ11" s="3"/>
      <c r="EA11" s="1" t="s">
        <v>9</v>
      </c>
      <c r="EB11" s="22">
        <v>0.96825396825396803</v>
      </c>
      <c r="EC11" s="3"/>
      <c r="ED11" s="1" t="s">
        <v>9</v>
      </c>
      <c r="EE11" s="22">
        <v>0.98160173160173203</v>
      </c>
      <c r="EF11" s="21"/>
      <c r="EG11" s="1" t="s">
        <v>9</v>
      </c>
      <c r="EH11" s="13">
        <v>0.98484848484848497</v>
      </c>
      <c r="EI11" s="3"/>
      <c r="EJ11" s="1" t="s">
        <v>9</v>
      </c>
      <c r="EK11" s="27">
        <v>0.98556998556998499</v>
      </c>
      <c r="EL11" s="3"/>
      <c r="EM11" s="1" t="s">
        <v>9</v>
      </c>
      <c r="EN11" s="22">
        <v>0.98593073593073599</v>
      </c>
      <c r="EO11" s="3"/>
      <c r="EP11" s="1" t="s">
        <v>9</v>
      </c>
      <c r="EQ11" s="22">
        <v>0.98412698412698396</v>
      </c>
      <c r="ER11" s="3"/>
      <c r="ES11" s="1" t="s">
        <v>9</v>
      </c>
      <c r="ET11" s="20">
        <v>0.97907647907647899</v>
      </c>
      <c r="EU11" s="3">
        <v>0.96717171717171702</v>
      </c>
      <c r="EV11" s="1" t="s">
        <v>9</v>
      </c>
      <c r="EW11" s="13">
        <v>0.96248196248196305</v>
      </c>
      <c r="EX11" s="3"/>
      <c r="EZ11" s="1" t="s">
        <v>9</v>
      </c>
      <c r="FA11" s="13">
        <v>0.98412698412698396</v>
      </c>
      <c r="FB11" s="3"/>
      <c r="FC11" s="1" t="s">
        <v>9</v>
      </c>
      <c r="FD11" s="22">
        <v>0.98773448773448802</v>
      </c>
      <c r="FE11" s="3"/>
      <c r="FF11" s="1" t="s">
        <v>9</v>
      </c>
      <c r="FG11" s="23">
        <v>0.986652236652237</v>
      </c>
      <c r="FH11" s="4"/>
      <c r="FI11" s="1" t="s">
        <v>9</v>
      </c>
      <c r="FJ11" s="13">
        <v>0.986291486291486</v>
      </c>
      <c r="FK11" s="4"/>
      <c r="FL11" s="1" t="s">
        <v>9</v>
      </c>
      <c r="FM11" s="23">
        <v>0.98737373737373701</v>
      </c>
      <c r="FN11" s="4"/>
      <c r="FO11" s="1" t="s">
        <v>9</v>
      </c>
      <c r="FP11" s="23">
        <v>0.98484848484848497</v>
      </c>
      <c r="FQ11" s="4"/>
      <c r="FR11" s="1" t="s">
        <v>9</v>
      </c>
      <c r="FS11" s="22">
        <v>0.98448773448773397</v>
      </c>
      <c r="FT11" s="4"/>
      <c r="FU11" s="1" t="s">
        <v>9</v>
      </c>
      <c r="FV11" s="23">
        <v>0.97330447330447301</v>
      </c>
      <c r="FW11" s="4"/>
      <c r="FX11" s="1" t="s">
        <v>9</v>
      </c>
      <c r="FY11" s="23">
        <v>0.98304473304473305</v>
      </c>
      <c r="FZ11" s="4"/>
      <c r="GA11" s="1" t="s">
        <v>9</v>
      </c>
      <c r="GB11" s="23">
        <v>0.98088023088023102</v>
      </c>
      <c r="GC11" s="4"/>
      <c r="GE11" s="1" t="s">
        <v>9</v>
      </c>
      <c r="GF11" s="23">
        <v>0.98412698412698396</v>
      </c>
      <c r="GG11" s="4"/>
      <c r="GH11" s="1" t="s">
        <v>9</v>
      </c>
      <c r="GI11" s="23">
        <v>0.98412698412698396</v>
      </c>
      <c r="GJ11" s="4"/>
      <c r="GL11" s="1" t="s">
        <v>9</v>
      </c>
      <c r="GM11" s="23">
        <v>0.96789321789321803</v>
      </c>
      <c r="GN11" s="4"/>
      <c r="GO11" s="1" t="s">
        <v>9</v>
      </c>
      <c r="GP11" s="23">
        <v>0.993506493506493</v>
      </c>
      <c r="GQ11" s="4"/>
    </row>
    <row r="12" spans="1:199" ht="15" thickBot="1" x14ac:dyDescent="0.35">
      <c r="A12" s="19">
        <v>247</v>
      </c>
      <c r="B12" s="1" t="s">
        <v>10</v>
      </c>
      <c r="C12" s="13">
        <v>0.97719298245613995</v>
      </c>
      <c r="E12" s="1" t="s">
        <v>10</v>
      </c>
      <c r="F12" s="13">
        <v>0.99210526315789505</v>
      </c>
      <c r="H12" s="1" t="s">
        <v>10</v>
      </c>
      <c r="I12" s="23">
        <v>0.99649122807017498</v>
      </c>
      <c r="L12" s="1" t="s">
        <v>10</v>
      </c>
      <c r="M12" s="13">
        <v>0.91666666666666696</v>
      </c>
      <c r="N12" s="3"/>
      <c r="P12" s="1" t="s">
        <v>10</v>
      </c>
      <c r="Q12" s="13">
        <v>0.95263157894736905</v>
      </c>
      <c r="T12" s="1" t="s">
        <v>10</v>
      </c>
      <c r="U12" s="13">
        <v>0.98333333333333295</v>
      </c>
      <c r="X12" s="1" t="s">
        <v>10</v>
      </c>
      <c r="Y12" s="13">
        <v>0.96315789473684199</v>
      </c>
      <c r="AB12" s="1" t="s">
        <v>10</v>
      </c>
      <c r="AC12" s="13">
        <v>0.95964912280701797</v>
      </c>
      <c r="AD12" s="3"/>
      <c r="AE12" s="1" t="s">
        <v>10</v>
      </c>
      <c r="AF12" s="13">
        <v>0.99824561403508805</v>
      </c>
      <c r="AH12" s="3"/>
      <c r="AI12" s="1" t="s">
        <v>10</v>
      </c>
      <c r="AJ12" s="13">
        <v>0.987719298245614</v>
      </c>
      <c r="AM12" s="1" t="s">
        <v>10</v>
      </c>
      <c r="AN12" s="13">
        <v>0.99824561403508805</v>
      </c>
      <c r="AQ12" s="1" t="s">
        <v>10</v>
      </c>
      <c r="AR12" s="13">
        <v>0.99824561403508805</v>
      </c>
      <c r="AU12" s="1" t="s">
        <v>10</v>
      </c>
      <c r="AV12" s="13">
        <v>0.993859649122807</v>
      </c>
      <c r="AX12" s="1" t="s">
        <v>10</v>
      </c>
      <c r="AY12" s="13">
        <v>0.98070175438596496</v>
      </c>
      <c r="BA12" s="1" t="s">
        <v>10</v>
      </c>
      <c r="BB12" s="13">
        <v>0.99473684210526303</v>
      </c>
      <c r="BD12" s="1" t="s">
        <v>10</v>
      </c>
      <c r="BE12" s="13">
        <v>0.99561403508771895</v>
      </c>
      <c r="BG12" s="1" t="s">
        <v>10</v>
      </c>
      <c r="BH12" s="13">
        <v>0.99561403508771895</v>
      </c>
      <c r="BJ12" s="1" t="s">
        <v>10</v>
      </c>
      <c r="BK12" s="13">
        <v>0.99736842105263201</v>
      </c>
      <c r="BM12" s="1" t="s">
        <v>10</v>
      </c>
      <c r="BN12" s="13">
        <v>0.99649122807017498</v>
      </c>
      <c r="BP12" s="1" t="s">
        <v>10</v>
      </c>
      <c r="BQ12" s="13">
        <v>0.99210526315789505</v>
      </c>
      <c r="BR12" s="3"/>
      <c r="BS12" s="1" t="s">
        <v>10</v>
      </c>
      <c r="BT12" s="13">
        <v>1</v>
      </c>
      <c r="BV12" s="1" t="s">
        <v>10</v>
      </c>
      <c r="BW12" s="13">
        <v>1</v>
      </c>
      <c r="BY12" s="1" t="s">
        <v>10</v>
      </c>
      <c r="BZ12" s="13">
        <v>0.99824561403508805</v>
      </c>
      <c r="CB12" s="1" t="s">
        <v>10</v>
      </c>
      <c r="CC12" s="13">
        <v>0.99824561403508805</v>
      </c>
      <c r="CE12" s="1" t="s">
        <v>10</v>
      </c>
      <c r="CF12" s="13">
        <v>0.97982456140350904</v>
      </c>
      <c r="CH12" s="1" t="s">
        <v>10</v>
      </c>
      <c r="CI12" s="13">
        <v>0.99122807017543901</v>
      </c>
      <c r="CK12" s="1" t="s">
        <v>10</v>
      </c>
      <c r="CL12" s="13">
        <v>0.993859649122807</v>
      </c>
      <c r="CN12" s="1" t="s">
        <v>10</v>
      </c>
      <c r="CO12" s="13">
        <v>0.99473684210526303</v>
      </c>
      <c r="CQ12" s="1" t="s">
        <v>10</v>
      </c>
      <c r="CR12" s="13">
        <v>0.99298245614035097</v>
      </c>
      <c r="CT12" s="1" t="s">
        <v>10</v>
      </c>
      <c r="CU12" s="13">
        <v>0.99210526315789505</v>
      </c>
      <c r="CV12" s="3"/>
      <c r="CW12" s="1" t="s">
        <v>10</v>
      </c>
      <c r="CX12" s="22">
        <v>0.99035087719298198</v>
      </c>
      <c r="CY12" s="3"/>
      <c r="CZ12" s="1" t="s">
        <v>10</v>
      </c>
      <c r="DA12" s="22">
        <v>0.98947368421052595</v>
      </c>
      <c r="DB12" s="3"/>
      <c r="DC12" s="1" t="s">
        <v>10</v>
      </c>
      <c r="DD12" s="13">
        <v>0.99035087719298298</v>
      </c>
      <c r="DE12" s="3"/>
      <c r="DG12" s="1" t="s">
        <v>10</v>
      </c>
      <c r="DH12" s="13">
        <v>0.98684210526315796</v>
      </c>
      <c r="DI12" s="3"/>
      <c r="DK12" s="1" t="s">
        <v>10</v>
      </c>
      <c r="DL12" s="13">
        <v>0.98859649122807003</v>
      </c>
      <c r="DM12" s="3"/>
      <c r="DO12" s="1" t="s">
        <v>10</v>
      </c>
      <c r="DP12" s="13">
        <v>0.987719298245614</v>
      </c>
      <c r="DQ12" s="3"/>
      <c r="DR12" s="1" t="s">
        <v>10</v>
      </c>
      <c r="DS12" s="22">
        <v>0.99122807017543901</v>
      </c>
      <c r="DU12" s="1" t="s">
        <v>10</v>
      </c>
      <c r="DV12" s="22">
        <v>0.987719298245614</v>
      </c>
      <c r="DX12" s="1" t="s">
        <v>10</v>
      </c>
      <c r="DY12" s="22">
        <v>0.98859649122807003</v>
      </c>
      <c r="DZ12" s="3"/>
      <c r="EA12" s="1" t="s">
        <v>10</v>
      </c>
      <c r="EB12" s="22">
        <v>0.98947368421052595</v>
      </c>
      <c r="EC12" s="3"/>
      <c r="ED12" s="1" t="s">
        <v>10</v>
      </c>
      <c r="EE12" s="22">
        <v>0.98596491228070204</v>
      </c>
      <c r="EF12" s="21"/>
      <c r="EG12" s="1" t="s">
        <v>10</v>
      </c>
      <c r="EH12" s="13">
        <v>0.99122807017543901</v>
      </c>
      <c r="EI12" s="3"/>
      <c r="EJ12" s="1" t="s">
        <v>10</v>
      </c>
      <c r="EK12" s="13">
        <v>0.98421052631578898</v>
      </c>
      <c r="EL12" s="3"/>
      <c r="EM12" s="1" t="s">
        <v>10</v>
      </c>
      <c r="EN12" s="22">
        <v>0.98333333333333295</v>
      </c>
      <c r="EO12" s="3"/>
      <c r="EP12" s="1" t="s">
        <v>10</v>
      </c>
      <c r="EQ12" s="22">
        <v>0.987719298245614</v>
      </c>
      <c r="ER12" s="3"/>
      <c r="ES12" s="1" t="s">
        <v>10</v>
      </c>
      <c r="ET12" s="20">
        <v>0.98947368421052595</v>
      </c>
      <c r="EU12" s="3">
        <v>0.97894736842105301</v>
      </c>
      <c r="EV12" s="1" t="s">
        <v>10</v>
      </c>
      <c r="EW12" s="13">
        <v>0.99035087719298198</v>
      </c>
      <c r="EX12" s="3"/>
      <c r="EZ12" s="1" t="s">
        <v>10</v>
      </c>
      <c r="FA12" s="13">
        <v>0.98947368421052595</v>
      </c>
      <c r="FB12" s="3"/>
      <c r="FC12" s="1" t="s">
        <v>10</v>
      </c>
      <c r="FD12" s="22">
        <v>0.99035087719298198</v>
      </c>
      <c r="FE12" s="3"/>
      <c r="FF12" s="1" t="s">
        <v>10</v>
      </c>
      <c r="FG12" s="23">
        <v>0.99035087719298198</v>
      </c>
      <c r="FH12" s="4"/>
      <c r="FI12" s="1" t="s">
        <v>10</v>
      </c>
      <c r="FJ12" s="13">
        <v>0.99035087719298198</v>
      </c>
      <c r="FK12" s="4"/>
      <c r="FL12" s="1" t="s">
        <v>10</v>
      </c>
      <c r="FM12" s="23">
        <v>0.99035087719298198</v>
      </c>
      <c r="FN12" s="4"/>
      <c r="FO12" s="1" t="s">
        <v>10</v>
      </c>
      <c r="FP12" s="23">
        <v>0.99035087719298298</v>
      </c>
      <c r="FQ12" s="4"/>
      <c r="FR12" s="1" t="s">
        <v>10</v>
      </c>
      <c r="FS12" s="22">
        <v>0.99122807017543901</v>
      </c>
      <c r="FT12" s="4"/>
      <c r="FU12" s="1" t="s">
        <v>10</v>
      </c>
      <c r="FV12" s="23">
        <v>0.99122807017543901</v>
      </c>
      <c r="FW12" s="4"/>
      <c r="FX12" s="1" t="s">
        <v>10</v>
      </c>
      <c r="FY12" s="23">
        <v>0.98947368421052595</v>
      </c>
      <c r="FZ12" s="4"/>
      <c r="GA12" s="1" t="s">
        <v>10</v>
      </c>
      <c r="GB12" s="23">
        <v>0.96929824561403499</v>
      </c>
      <c r="GC12" s="4"/>
      <c r="GE12" s="1" t="s">
        <v>10</v>
      </c>
      <c r="GF12" s="23">
        <v>0.98859649122807003</v>
      </c>
      <c r="GG12" s="4"/>
      <c r="GH12" s="1" t="s">
        <v>10</v>
      </c>
      <c r="GI12" s="23">
        <v>0.98859649122807003</v>
      </c>
      <c r="GJ12" s="4"/>
      <c r="GL12" s="1" t="s">
        <v>10</v>
      </c>
      <c r="GM12" s="23">
        <v>0.99035087719298298</v>
      </c>
      <c r="GN12" s="4"/>
      <c r="GO12" s="1" t="s">
        <v>10</v>
      </c>
      <c r="GP12" s="23">
        <v>0.993859649122807</v>
      </c>
      <c r="GQ12" s="4"/>
    </row>
    <row r="13" spans="1:199" ht="15" thickBot="1" x14ac:dyDescent="0.35">
      <c r="A13" s="19">
        <v>209</v>
      </c>
      <c r="B13" s="1" t="s">
        <v>11</v>
      </c>
      <c r="C13" s="13">
        <v>0.99761904761904796</v>
      </c>
      <c r="E13" s="1" t="s">
        <v>11</v>
      </c>
      <c r="F13" s="13">
        <v>0.99841269841269797</v>
      </c>
      <c r="H13" s="1" t="s">
        <v>11</v>
      </c>
      <c r="I13" s="23">
        <v>1</v>
      </c>
      <c r="L13" s="1" t="s">
        <v>11</v>
      </c>
      <c r="M13" s="13">
        <v>0.99761904761904796</v>
      </c>
      <c r="N13" s="3"/>
      <c r="P13" s="1" t="s">
        <v>11</v>
      </c>
      <c r="Q13" s="13">
        <v>0.99682539682539695</v>
      </c>
      <c r="T13" s="1" t="s">
        <v>11</v>
      </c>
      <c r="U13" s="13">
        <v>0.99841269841269797</v>
      </c>
      <c r="X13" s="1" t="s">
        <v>11</v>
      </c>
      <c r="Y13" s="13">
        <v>1</v>
      </c>
      <c r="AB13" s="1" t="s">
        <v>11</v>
      </c>
      <c r="AC13" s="13">
        <v>0.99365079365079401</v>
      </c>
      <c r="AD13" s="3"/>
      <c r="AE13" s="1" t="s">
        <v>11</v>
      </c>
      <c r="AF13" s="13">
        <v>0.99444444444444502</v>
      </c>
      <c r="AH13" s="3"/>
      <c r="AI13" s="1" t="s">
        <v>11</v>
      </c>
      <c r="AJ13" s="13">
        <v>0.99444444444444502</v>
      </c>
      <c r="AM13" s="1" t="s">
        <v>11</v>
      </c>
      <c r="AN13" s="13">
        <v>0.99444444444444502</v>
      </c>
      <c r="AQ13" s="1" t="s">
        <v>11</v>
      </c>
      <c r="AR13" s="13">
        <v>0.99365079365079401</v>
      </c>
      <c r="AU13" s="1" t="s">
        <v>11</v>
      </c>
      <c r="AV13" s="13">
        <v>0.99444444444444502</v>
      </c>
      <c r="AX13" s="1" t="s">
        <v>11</v>
      </c>
      <c r="AY13" s="13">
        <v>0.99365079365079401</v>
      </c>
      <c r="BA13" s="1" t="s">
        <v>11</v>
      </c>
      <c r="BB13" s="13">
        <v>0.99365079365079401</v>
      </c>
      <c r="BD13" s="1" t="s">
        <v>11</v>
      </c>
      <c r="BE13" s="13">
        <v>0.99285714285714299</v>
      </c>
      <c r="BG13" s="1" t="s">
        <v>11</v>
      </c>
      <c r="BH13" s="13">
        <v>0.99126984126984097</v>
      </c>
      <c r="BJ13" s="1" t="s">
        <v>11</v>
      </c>
      <c r="BK13" s="13">
        <v>0.99206349206349198</v>
      </c>
      <c r="BM13" s="1" t="s">
        <v>11</v>
      </c>
      <c r="BN13" s="13">
        <v>0.99365079365079401</v>
      </c>
      <c r="BP13" s="1" t="s">
        <v>11</v>
      </c>
      <c r="BQ13" s="13">
        <v>0.99206349206349198</v>
      </c>
      <c r="BR13" s="3"/>
      <c r="BS13" s="1" t="s">
        <v>11</v>
      </c>
      <c r="BT13" s="13">
        <v>0.99444444444444502</v>
      </c>
      <c r="BV13" s="1" t="s">
        <v>11</v>
      </c>
      <c r="BW13" s="13">
        <v>0.99523809523809503</v>
      </c>
      <c r="BY13" s="1" t="s">
        <v>11</v>
      </c>
      <c r="BZ13" s="13">
        <v>0.99206349206349198</v>
      </c>
      <c r="CB13" s="1" t="s">
        <v>11</v>
      </c>
      <c r="CC13" s="13">
        <v>0.99126984126984097</v>
      </c>
      <c r="CE13" s="1" t="s">
        <v>11</v>
      </c>
      <c r="CF13" s="13">
        <v>1</v>
      </c>
      <c r="CH13" s="1" t="s">
        <v>11</v>
      </c>
      <c r="CI13" s="13">
        <v>1</v>
      </c>
      <c r="CK13" s="1" t="s">
        <v>11</v>
      </c>
      <c r="CL13" s="13">
        <v>1</v>
      </c>
      <c r="CN13" s="1" t="s">
        <v>11</v>
      </c>
      <c r="CO13" s="13">
        <v>1</v>
      </c>
      <c r="CQ13" s="1" t="s">
        <v>11</v>
      </c>
      <c r="CR13" s="13">
        <v>1</v>
      </c>
      <c r="CT13" s="1" t="s">
        <v>11</v>
      </c>
      <c r="CU13" s="13">
        <v>0.99841269841269797</v>
      </c>
      <c r="CV13" s="3"/>
      <c r="CW13" s="1" t="s">
        <v>11</v>
      </c>
      <c r="CX13" s="22">
        <v>0.99761904761904796</v>
      </c>
      <c r="CY13" s="3"/>
      <c r="CZ13" s="1" t="s">
        <v>11</v>
      </c>
      <c r="DA13" s="22">
        <v>0.99841269841269797</v>
      </c>
      <c r="DB13" s="3"/>
      <c r="DC13" s="1" t="s">
        <v>11</v>
      </c>
      <c r="DD13" s="13">
        <v>0.99841269841269797</v>
      </c>
      <c r="DE13" s="3"/>
      <c r="DG13" s="1" t="s">
        <v>11</v>
      </c>
      <c r="DH13" s="13">
        <v>0.99920634920634899</v>
      </c>
      <c r="DI13" s="3"/>
      <c r="DK13" s="1" t="s">
        <v>11</v>
      </c>
      <c r="DL13" s="13">
        <v>0.99920634920634899</v>
      </c>
      <c r="DM13" s="3"/>
      <c r="DO13" s="1" t="s">
        <v>11</v>
      </c>
      <c r="DP13" s="13">
        <v>0.99841269841269797</v>
      </c>
      <c r="DQ13" s="3"/>
      <c r="DR13" s="1" t="s">
        <v>11</v>
      </c>
      <c r="DS13" s="22">
        <v>0.99841269841269797</v>
      </c>
      <c r="DU13" s="1" t="s">
        <v>11</v>
      </c>
      <c r="DV13" s="22">
        <v>0.99841269841269797</v>
      </c>
      <c r="DX13" s="1" t="s">
        <v>11</v>
      </c>
      <c r="DY13" s="22">
        <v>0.99920634920634899</v>
      </c>
      <c r="DZ13" s="3"/>
      <c r="EA13" s="1" t="s">
        <v>11</v>
      </c>
      <c r="EB13" s="22">
        <v>0.98888888888888904</v>
      </c>
      <c r="EC13" s="3"/>
      <c r="ED13" s="1" t="s">
        <v>11</v>
      </c>
      <c r="EE13" s="22">
        <v>1</v>
      </c>
      <c r="EF13" s="3"/>
      <c r="EG13" s="1" t="s">
        <v>11</v>
      </c>
      <c r="EH13" s="13">
        <v>0.99841269841269797</v>
      </c>
      <c r="EI13" s="3"/>
      <c r="EJ13" s="1" t="s">
        <v>11</v>
      </c>
      <c r="EK13" s="13">
        <v>0.99603174603174605</v>
      </c>
      <c r="EL13" s="3"/>
      <c r="EM13" s="1" t="s">
        <v>11</v>
      </c>
      <c r="EN13" s="22">
        <v>0.99682539682539695</v>
      </c>
      <c r="EO13" s="3"/>
      <c r="EP13" s="1" t="s">
        <v>11</v>
      </c>
      <c r="EQ13" s="22">
        <v>0.99761904761904796</v>
      </c>
      <c r="ER13" s="3"/>
      <c r="ES13" s="1" t="s">
        <v>11</v>
      </c>
      <c r="ET13" s="20">
        <v>0.99761904761904796</v>
      </c>
      <c r="EU13" s="3">
        <v>0.99761904761904796</v>
      </c>
      <c r="EV13" s="1" t="s">
        <v>11</v>
      </c>
      <c r="EW13" s="13">
        <v>0.99682539682539695</v>
      </c>
      <c r="EX13" s="3"/>
      <c r="EZ13" s="1" t="s">
        <v>11</v>
      </c>
      <c r="FA13" s="13">
        <v>0.99920634920634899</v>
      </c>
      <c r="FB13" s="3"/>
      <c r="FC13" s="1" t="s">
        <v>11</v>
      </c>
      <c r="FD13" s="22">
        <v>1</v>
      </c>
      <c r="FE13" s="3"/>
      <c r="FF13" s="1" t="s">
        <v>11</v>
      </c>
      <c r="FG13" s="23">
        <v>1</v>
      </c>
      <c r="FH13" s="4"/>
      <c r="FI13" s="1" t="s">
        <v>11</v>
      </c>
      <c r="FJ13" s="13">
        <v>1</v>
      </c>
      <c r="FK13" s="4"/>
      <c r="FL13" s="1" t="s">
        <v>11</v>
      </c>
      <c r="FM13" s="23">
        <v>1</v>
      </c>
      <c r="FN13" s="4"/>
      <c r="FO13" s="1" t="s">
        <v>11</v>
      </c>
      <c r="FP13" s="23">
        <v>1</v>
      </c>
      <c r="FQ13" s="4"/>
      <c r="FR13" s="1" t="s">
        <v>11</v>
      </c>
      <c r="FS13" s="22">
        <v>1</v>
      </c>
      <c r="FT13" s="4"/>
      <c r="FU13" s="1" t="s">
        <v>11</v>
      </c>
      <c r="FV13" s="23">
        <v>0.99920634920634899</v>
      </c>
      <c r="FW13" s="4"/>
      <c r="FX13" s="1" t="s">
        <v>11</v>
      </c>
      <c r="FY13" s="23">
        <v>1</v>
      </c>
      <c r="FZ13" s="4"/>
      <c r="GA13" s="1" t="s">
        <v>11</v>
      </c>
      <c r="GB13" s="23">
        <v>0.99761904761904796</v>
      </c>
      <c r="GC13" s="4"/>
      <c r="GE13" s="1" t="s">
        <v>11</v>
      </c>
      <c r="GF13" s="23">
        <v>1</v>
      </c>
      <c r="GG13" s="4"/>
      <c r="GH13" s="1" t="s">
        <v>11</v>
      </c>
      <c r="GI13" s="23">
        <v>1</v>
      </c>
      <c r="GJ13" s="4"/>
      <c r="GL13" s="1" t="s">
        <v>11</v>
      </c>
      <c r="GM13" s="23">
        <v>0.99841269841269797</v>
      </c>
      <c r="GN13" s="4"/>
      <c r="GO13" s="1" t="s">
        <v>11</v>
      </c>
      <c r="GP13" s="23">
        <v>0.99920634920634899</v>
      </c>
      <c r="GQ13" s="4"/>
    </row>
    <row r="14" spans="1:199" ht="15" thickBot="1" x14ac:dyDescent="0.35">
      <c r="A14" s="19">
        <v>224</v>
      </c>
      <c r="B14" s="1" t="s">
        <v>12</v>
      </c>
      <c r="C14" s="13">
        <v>0.91547976011994003</v>
      </c>
      <c r="E14" s="1" t="s">
        <v>12</v>
      </c>
      <c r="F14" s="13">
        <v>0.95933283358320798</v>
      </c>
      <c r="H14" s="1" t="s">
        <v>12</v>
      </c>
      <c r="I14" s="23">
        <v>0.94602698650674699</v>
      </c>
      <c r="L14" s="1" t="s">
        <v>12</v>
      </c>
      <c r="M14" s="13">
        <v>0.91360569715142403</v>
      </c>
      <c r="N14" s="3"/>
      <c r="P14" s="1" t="s">
        <v>12</v>
      </c>
      <c r="Q14" s="13">
        <v>0.86844077961019495</v>
      </c>
      <c r="T14" s="1" t="s">
        <v>12</v>
      </c>
      <c r="U14" s="13">
        <v>0.87050224887556205</v>
      </c>
      <c r="X14" s="1" t="s">
        <v>12</v>
      </c>
      <c r="Y14" s="13">
        <v>0.87143928035981999</v>
      </c>
      <c r="AB14" s="1" t="s">
        <v>12</v>
      </c>
      <c r="AC14" s="13">
        <v>0.82233883058470802</v>
      </c>
      <c r="AD14" s="3"/>
      <c r="AE14" s="1" t="s">
        <v>12</v>
      </c>
      <c r="AF14" s="13">
        <v>0.77436281859070499</v>
      </c>
      <c r="AH14" s="3"/>
      <c r="AI14" s="1" t="s">
        <v>12</v>
      </c>
      <c r="AJ14" s="13">
        <v>0.78298350824587704</v>
      </c>
      <c r="AM14" s="1" t="s">
        <v>12</v>
      </c>
      <c r="AN14" s="13">
        <v>0.77436281859070499</v>
      </c>
      <c r="AQ14" s="1" t="s">
        <v>12</v>
      </c>
      <c r="AR14" s="13">
        <v>0.78185907046476799</v>
      </c>
      <c r="AU14" s="1" t="s">
        <v>12</v>
      </c>
      <c r="AV14" s="13">
        <v>0.74081709145427299</v>
      </c>
      <c r="AX14" s="1" t="s">
        <v>12</v>
      </c>
      <c r="AY14" s="13">
        <v>0.74231634182908601</v>
      </c>
      <c r="BA14" s="1" t="s">
        <v>12</v>
      </c>
      <c r="BB14" s="13">
        <v>0.742503748125937</v>
      </c>
      <c r="BD14" s="1" t="s">
        <v>12</v>
      </c>
      <c r="BE14" s="13">
        <v>0.74287856071963998</v>
      </c>
      <c r="BG14" s="1" t="s">
        <v>12</v>
      </c>
      <c r="BH14" s="13">
        <v>0.742503748125937</v>
      </c>
      <c r="BJ14" s="1" t="s">
        <v>12</v>
      </c>
      <c r="BK14" s="13">
        <v>0.73594452773613195</v>
      </c>
      <c r="BM14" s="1" t="s">
        <v>12</v>
      </c>
      <c r="BN14" s="13">
        <v>0.75993253373313296</v>
      </c>
      <c r="BP14" s="1" t="s">
        <v>12</v>
      </c>
      <c r="BQ14" s="13">
        <v>0.79460269865067501</v>
      </c>
      <c r="BR14" s="3"/>
      <c r="BS14" s="1" t="s">
        <v>12</v>
      </c>
      <c r="BT14" s="13">
        <v>0.83845577211394295</v>
      </c>
      <c r="BV14" s="1" t="s">
        <v>12</v>
      </c>
      <c r="BW14" s="13">
        <v>0.85719640179910095</v>
      </c>
      <c r="BY14" s="1" t="s">
        <v>12</v>
      </c>
      <c r="BZ14" s="13">
        <v>0.860007496251874</v>
      </c>
      <c r="CB14" s="1" t="s">
        <v>12</v>
      </c>
      <c r="CC14" s="13">
        <v>0.85925787106446805</v>
      </c>
      <c r="CE14" s="1" t="s">
        <v>12</v>
      </c>
      <c r="CF14" s="13">
        <v>0.88287106446776598</v>
      </c>
      <c r="CH14" s="1" t="s">
        <v>12</v>
      </c>
      <c r="CI14" s="13">
        <v>0.87968515742128905</v>
      </c>
      <c r="CK14" s="1" t="s">
        <v>12</v>
      </c>
      <c r="CL14" s="13">
        <v>0.89167916041979001</v>
      </c>
      <c r="CN14" s="1" t="s">
        <v>12</v>
      </c>
      <c r="CO14" s="13">
        <v>0.88811844077961</v>
      </c>
      <c r="CQ14" s="1" t="s">
        <v>12</v>
      </c>
      <c r="CR14" s="13">
        <v>0.86994002998500797</v>
      </c>
      <c r="CT14" s="1" t="s">
        <v>12</v>
      </c>
      <c r="CU14" s="13">
        <v>0.94434032983508198</v>
      </c>
      <c r="CV14" s="3"/>
      <c r="CW14" s="1" t="s">
        <v>12</v>
      </c>
      <c r="CX14" s="22">
        <v>0.94227886056971499</v>
      </c>
      <c r="CY14" s="3"/>
      <c r="CZ14" s="1" t="s">
        <v>12</v>
      </c>
      <c r="DA14" s="22">
        <v>0.94508995502248905</v>
      </c>
      <c r="DB14" s="3"/>
      <c r="DC14" s="1" t="s">
        <v>12</v>
      </c>
      <c r="DD14" s="13">
        <v>0.94658920539730096</v>
      </c>
      <c r="DE14" s="3"/>
      <c r="DG14" s="1" t="s">
        <v>12</v>
      </c>
      <c r="DH14" s="13">
        <v>0.93853073463268399</v>
      </c>
      <c r="DI14" s="3"/>
      <c r="DK14" s="1" t="s">
        <v>12</v>
      </c>
      <c r="DL14" s="13">
        <v>0.93796851574212903</v>
      </c>
      <c r="DM14" s="3"/>
      <c r="DO14" s="1" t="s">
        <v>12</v>
      </c>
      <c r="DP14" s="13">
        <v>0.958958020989505</v>
      </c>
      <c r="DQ14" s="3"/>
      <c r="DR14" s="1" t="s">
        <v>12</v>
      </c>
      <c r="DS14" s="22">
        <v>0.962706146926537</v>
      </c>
      <c r="DU14" s="1" t="s">
        <v>12</v>
      </c>
      <c r="DV14" s="22">
        <v>0.96739130434782605</v>
      </c>
      <c r="DX14" s="1" t="s">
        <v>12</v>
      </c>
      <c r="DY14" s="22">
        <v>0.96626686656671701</v>
      </c>
      <c r="DZ14" s="3"/>
      <c r="EA14" s="1" t="s">
        <v>12</v>
      </c>
      <c r="EB14" s="22">
        <v>0.95427286356821595</v>
      </c>
      <c r="EC14" s="3"/>
      <c r="ED14" s="1" t="s">
        <v>12</v>
      </c>
      <c r="EE14" s="22">
        <v>0.98088455772113903</v>
      </c>
      <c r="EF14" s="3"/>
      <c r="EG14" s="1" t="s">
        <v>12</v>
      </c>
      <c r="EH14" s="13">
        <v>0.95371064467766098</v>
      </c>
      <c r="EI14" s="3"/>
      <c r="EJ14" s="1" t="s">
        <v>12</v>
      </c>
      <c r="EK14" s="13">
        <v>0.92691154422788602</v>
      </c>
      <c r="EL14" s="3"/>
      <c r="EM14" s="1" t="s">
        <v>12</v>
      </c>
      <c r="EN14" s="22">
        <v>0.934782608695652</v>
      </c>
      <c r="EO14" s="3"/>
      <c r="EP14" s="1" t="s">
        <v>12</v>
      </c>
      <c r="EQ14" s="22">
        <v>0.92953523238380797</v>
      </c>
      <c r="ER14" s="3"/>
      <c r="ES14" s="1" t="s">
        <v>12</v>
      </c>
      <c r="ET14" s="20">
        <v>0.929160419790105</v>
      </c>
      <c r="EU14" s="3">
        <v>0.91060719640179899</v>
      </c>
      <c r="EV14" s="1" t="s">
        <v>12</v>
      </c>
      <c r="EW14" s="13">
        <v>0.91960269865067501</v>
      </c>
      <c r="EX14" s="3"/>
      <c r="EZ14" s="1" t="s">
        <v>12</v>
      </c>
      <c r="FA14" s="13">
        <v>0.96345577211394295</v>
      </c>
      <c r="FB14" s="3"/>
      <c r="FC14" s="1" t="s">
        <v>12</v>
      </c>
      <c r="FD14" s="22">
        <v>0.97769865067466299</v>
      </c>
      <c r="FE14" s="3"/>
      <c r="FF14" s="1" t="s">
        <v>12</v>
      </c>
      <c r="FG14" s="23">
        <v>0.97938530734632701</v>
      </c>
      <c r="FH14" s="4"/>
      <c r="FI14" s="1" t="s">
        <v>12</v>
      </c>
      <c r="FJ14" s="13">
        <v>0.97807346326836597</v>
      </c>
      <c r="FK14" s="4"/>
      <c r="FL14" s="1" t="s">
        <v>12</v>
      </c>
      <c r="FM14" s="23">
        <v>0.97807346326836597</v>
      </c>
      <c r="FN14" s="4"/>
      <c r="FO14" s="1" t="s">
        <v>12</v>
      </c>
      <c r="FP14" s="23">
        <v>0.97863568215892105</v>
      </c>
      <c r="FQ14" s="4"/>
      <c r="FR14" s="1" t="s">
        <v>12</v>
      </c>
      <c r="FS14" s="22">
        <v>0.97788605697151398</v>
      </c>
      <c r="FT14" s="4"/>
      <c r="FU14" s="1" t="s">
        <v>12</v>
      </c>
      <c r="FV14" s="23">
        <v>0.96776611694152903</v>
      </c>
      <c r="FW14" s="4"/>
      <c r="FX14" s="1" t="s">
        <v>12</v>
      </c>
      <c r="FY14" s="23">
        <v>0.988755622188905</v>
      </c>
      <c r="FZ14" s="4"/>
      <c r="GA14" s="1" t="s">
        <v>12</v>
      </c>
      <c r="GB14" s="23">
        <v>0.91079460269865098</v>
      </c>
      <c r="GC14" s="4"/>
      <c r="GE14" s="1" t="s">
        <v>12</v>
      </c>
      <c r="GF14" s="23">
        <v>0.97526236881559203</v>
      </c>
      <c r="GG14" s="4"/>
      <c r="GH14" s="1" t="s">
        <v>12</v>
      </c>
      <c r="GI14" s="23">
        <v>0.97526236881559203</v>
      </c>
      <c r="GJ14" s="4"/>
      <c r="GL14" s="1" t="s">
        <v>12</v>
      </c>
      <c r="GM14" s="23">
        <v>0.97751124437781101</v>
      </c>
      <c r="GN14" s="4"/>
      <c r="GO14" s="1" t="s">
        <v>12</v>
      </c>
      <c r="GP14" s="23">
        <v>0.96345577211394295</v>
      </c>
      <c r="GQ14" s="4"/>
    </row>
    <row r="15" spans="1:199" ht="15" thickBot="1" x14ac:dyDescent="0.35">
      <c r="A15" s="19">
        <v>219</v>
      </c>
      <c r="B15" s="1" t="s">
        <v>13</v>
      </c>
      <c r="C15" s="13">
        <v>0.88831272437175901</v>
      </c>
      <c r="E15" s="1" t="s">
        <v>13</v>
      </c>
      <c r="F15" s="13">
        <v>0.87076186677303602</v>
      </c>
      <c r="H15" s="1" t="s">
        <v>13</v>
      </c>
      <c r="I15" s="23">
        <v>0.93418428400478704</v>
      </c>
      <c r="L15" s="1" t="s">
        <v>13</v>
      </c>
      <c r="M15" s="13">
        <v>0.90506581571599498</v>
      </c>
      <c r="N15" s="3"/>
      <c r="P15" s="1" t="s">
        <v>13</v>
      </c>
      <c r="Q15" s="13">
        <v>0.874351814918229</v>
      </c>
      <c r="T15" s="1" t="s">
        <v>13</v>
      </c>
      <c r="U15" s="13">
        <v>0.88073394495412904</v>
      </c>
      <c r="X15" s="1" t="s">
        <v>13</v>
      </c>
      <c r="Y15" s="13">
        <v>0.86956521739130399</v>
      </c>
      <c r="AB15" s="1" t="s">
        <v>13</v>
      </c>
      <c r="AC15" s="13">
        <v>0.78340646190666097</v>
      </c>
      <c r="AD15" s="3"/>
      <c r="AE15" s="1" t="s">
        <v>13</v>
      </c>
      <c r="AF15" s="13">
        <v>0.81451934583167096</v>
      </c>
      <c r="AH15" s="3"/>
      <c r="AI15" s="1" t="s">
        <v>13</v>
      </c>
      <c r="AJ15" s="13">
        <v>0.78619864379736704</v>
      </c>
      <c r="AM15" s="1" t="s">
        <v>13</v>
      </c>
      <c r="AN15" s="13">
        <v>0.81451934583167096</v>
      </c>
      <c r="AQ15" s="1" t="s">
        <v>13</v>
      </c>
      <c r="AR15" s="13">
        <v>0.81731152772237703</v>
      </c>
      <c r="AU15" s="1" t="s">
        <v>13</v>
      </c>
      <c r="AV15" s="13">
        <v>0.83326685281212598</v>
      </c>
      <c r="AX15" s="1" t="s">
        <v>13</v>
      </c>
      <c r="AY15" s="13">
        <v>0.789389708815317</v>
      </c>
      <c r="BA15" s="1" t="s">
        <v>13</v>
      </c>
      <c r="BB15" s="13">
        <v>0.85321100917431203</v>
      </c>
      <c r="BD15" s="1" t="s">
        <v>13</v>
      </c>
      <c r="BE15" s="13">
        <v>0.85799760670123704</v>
      </c>
      <c r="BG15" s="1" t="s">
        <v>13</v>
      </c>
      <c r="BH15" s="13">
        <v>0.85719984044674902</v>
      </c>
      <c r="BJ15" s="1" t="s">
        <v>13</v>
      </c>
      <c r="BK15" s="13">
        <v>0.85321100917431203</v>
      </c>
      <c r="BM15" s="1" t="s">
        <v>13</v>
      </c>
      <c r="BN15" s="13">
        <v>0.84084563222975695</v>
      </c>
      <c r="BP15" s="1" t="s">
        <v>13</v>
      </c>
      <c r="BQ15" s="13">
        <v>0.83805345033905099</v>
      </c>
      <c r="BR15" s="3"/>
      <c r="BS15" s="1" t="s">
        <v>13</v>
      </c>
      <c r="BT15" s="13">
        <v>0.83526126844834503</v>
      </c>
      <c r="BV15" s="1" t="s">
        <v>13</v>
      </c>
      <c r="BW15" s="13">
        <v>0.83366573593936999</v>
      </c>
      <c r="BY15" s="1" t="s">
        <v>13</v>
      </c>
      <c r="BZ15" s="13">
        <v>0.85321100917431203</v>
      </c>
      <c r="CB15" s="1" t="s">
        <v>13</v>
      </c>
      <c r="CC15" s="13">
        <v>0.85241324291982501</v>
      </c>
      <c r="CE15" s="1" t="s">
        <v>13</v>
      </c>
      <c r="CF15" s="13">
        <v>0.89190267251695299</v>
      </c>
      <c r="CH15" s="1" t="s">
        <v>13</v>
      </c>
      <c r="CI15" s="13">
        <v>0.914639010769844</v>
      </c>
      <c r="CK15" s="1" t="s">
        <v>13</v>
      </c>
      <c r="CL15" s="13">
        <v>0.91184682887913904</v>
      </c>
      <c r="CN15" s="1" t="s">
        <v>13</v>
      </c>
      <c r="CO15" s="13">
        <v>0.91822895891503797</v>
      </c>
      <c r="CQ15" s="1" t="s">
        <v>13</v>
      </c>
      <c r="CR15" s="13">
        <v>0.92301555644196198</v>
      </c>
      <c r="CT15" s="1" t="s">
        <v>13</v>
      </c>
      <c r="CU15" s="13">
        <v>0.92301555644196198</v>
      </c>
      <c r="CV15" s="3"/>
      <c r="CW15" s="1" t="s">
        <v>13</v>
      </c>
      <c r="CX15" s="22">
        <v>0.91543677702433202</v>
      </c>
      <c r="CY15" s="3"/>
      <c r="CZ15" s="1" t="s">
        <v>13</v>
      </c>
      <c r="DA15" s="22">
        <v>0.92780215396888699</v>
      </c>
      <c r="DB15" s="3"/>
      <c r="DC15" s="1" t="s">
        <v>13</v>
      </c>
      <c r="DD15" s="13">
        <v>0.92700438771439997</v>
      </c>
      <c r="DE15" s="3"/>
      <c r="DG15" s="1" t="s">
        <v>13</v>
      </c>
      <c r="DH15" s="13">
        <v>0.91743119266055095</v>
      </c>
      <c r="DI15" s="3"/>
      <c r="DK15" s="1" t="s">
        <v>13</v>
      </c>
      <c r="DL15" s="13">
        <v>0.92062225767850003</v>
      </c>
      <c r="DM15" s="3"/>
      <c r="DO15" s="1" t="s">
        <v>13</v>
      </c>
      <c r="DP15" s="13">
        <v>0.96090945353011603</v>
      </c>
      <c r="DQ15" s="3"/>
      <c r="DR15" s="1" t="s">
        <v>13</v>
      </c>
      <c r="DS15" s="22">
        <v>0.96529716792979703</v>
      </c>
      <c r="DU15" s="1" t="s">
        <v>13</v>
      </c>
      <c r="DV15" s="22">
        <v>0.96928599920223402</v>
      </c>
      <c r="DX15" s="1" t="s">
        <v>13</v>
      </c>
      <c r="DY15" s="22">
        <v>0.98244914240127601</v>
      </c>
      <c r="DZ15" s="3"/>
      <c r="EA15" s="1" t="s">
        <v>13</v>
      </c>
      <c r="EB15" s="22">
        <v>0.90546469884323899</v>
      </c>
      <c r="EC15" s="3"/>
      <c r="ED15" s="1" t="s">
        <v>13</v>
      </c>
      <c r="EE15" s="22">
        <v>0.941763063422417</v>
      </c>
      <c r="EF15" s="3"/>
      <c r="EG15" s="1" t="s">
        <v>13</v>
      </c>
      <c r="EH15" s="13">
        <v>0.905863581970483</v>
      </c>
      <c r="EI15" s="3"/>
      <c r="EJ15" s="1" t="s">
        <v>13</v>
      </c>
      <c r="EK15" s="13">
        <v>0.90666134822497002</v>
      </c>
      <c r="EL15" s="3"/>
      <c r="EM15" s="1" t="s">
        <v>13</v>
      </c>
      <c r="EN15" s="22">
        <v>0.90985241324291999</v>
      </c>
      <c r="EO15" s="3"/>
      <c r="EP15" s="1" t="s">
        <v>13</v>
      </c>
      <c r="EQ15" s="22">
        <v>0.92580773833266905</v>
      </c>
      <c r="ER15" s="3"/>
      <c r="ES15" s="1" t="s">
        <v>13</v>
      </c>
      <c r="ET15" s="20">
        <v>0.91583566015157603</v>
      </c>
      <c r="EU15" s="3">
        <v>0.87395293179098499</v>
      </c>
      <c r="EV15" s="1" t="s">
        <v>13</v>
      </c>
      <c r="EW15" s="13">
        <v>0.92939768647786203</v>
      </c>
      <c r="EX15" s="3"/>
      <c r="EZ15" s="1" t="s">
        <v>13</v>
      </c>
      <c r="FA15" s="13">
        <v>0.92899880335061802</v>
      </c>
      <c r="FB15" s="3"/>
      <c r="FC15" s="1" t="s">
        <v>13</v>
      </c>
      <c r="FD15" s="22">
        <v>0.94295971280414803</v>
      </c>
      <c r="FE15" s="3"/>
      <c r="FF15" s="1" t="s">
        <v>13</v>
      </c>
      <c r="FG15" s="23">
        <v>0.93777423214998001</v>
      </c>
      <c r="FH15" s="4"/>
      <c r="FI15" s="1" t="s">
        <v>13</v>
      </c>
      <c r="FJ15" s="13">
        <v>0.93577981651376196</v>
      </c>
      <c r="FK15" s="4"/>
      <c r="FL15" s="1" t="s">
        <v>13</v>
      </c>
      <c r="FM15" s="23">
        <v>0.93777423214998001</v>
      </c>
      <c r="FN15" s="4"/>
      <c r="FO15" s="1" t="s">
        <v>13</v>
      </c>
      <c r="FP15" s="23">
        <v>0.94934184284004797</v>
      </c>
      <c r="FQ15" s="4"/>
      <c r="FR15" s="1" t="s">
        <v>13</v>
      </c>
      <c r="FS15" s="22">
        <v>0.94375747905863605</v>
      </c>
      <c r="FT15" s="4"/>
      <c r="FU15" s="1" t="s">
        <v>13</v>
      </c>
      <c r="FV15" s="23">
        <v>0.96011168727562801</v>
      </c>
      <c r="FW15" s="4"/>
      <c r="FX15" s="1" t="s">
        <v>13</v>
      </c>
      <c r="FY15" s="23">
        <v>0.93817311527722402</v>
      </c>
      <c r="FZ15" s="4"/>
      <c r="GA15" s="1" t="s">
        <v>13</v>
      </c>
      <c r="GB15" s="23">
        <v>0.86517750299162299</v>
      </c>
      <c r="GC15" s="4"/>
      <c r="GE15" s="1" t="s">
        <v>13</v>
      </c>
      <c r="GF15" s="23">
        <v>0.92780215396888699</v>
      </c>
      <c r="GG15" s="4"/>
      <c r="GH15" s="1" t="s">
        <v>13</v>
      </c>
      <c r="GI15" s="23">
        <v>0.92780215396888699</v>
      </c>
      <c r="GJ15" s="4"/>
      <c r="GL15" s="1" t="s">
        <v>13</v>
      </c>
      <c r="GM15" s="23">
        <v>0.92461108895093702</v>
      </c>
      <c r="GN15" s="4"/>
      <c r="GO15" s="1" t="s">
        <v>13</v>
      </c>
      <c r="GP15" s="23">
        <v>0.94734742720382903</v>
      </c>
      <c r="GQ15" s="4"/>
    </row>
    <row r="16" spans="1:199" ht="15" thickBot="1" x14ac:dyDescent="0.35">
      <c r="A16" s="19">
        <v>391</v>
      </c>
      <c r="B16" s="1" t="s">
        <v>14</v>
      </c>
      <c r="C16" s="13">
        <v>0.95535714285714302</v>
      </c>
      <c r="E16" s="1" t="s">
        <v>14</v>
      </c>
      <c r="F16" s="13">
        <v>0.99107142857142905</v>
      </c>
      <c r="H16" s="1" t="s">
        <v>14</v>
      </c>
      <c r="I16" s="23">
        <v>0.97892857142857204</v>
      </c>
      <c r="L16" s="1" t="s">
        <v>14</v>
      </c>
      <c r="M16" s="13">
        <v>0.91821428571428598</v>
      </c>
      <c r="N16" s="3"/>
      <c r="P16" s="1" t="s">
        <v>14</v>
      </c>
      <c r="Q16" s="13">
        <v>0.82642857142857196</v>
      </c>
      <c r="T16" s="1" t="s">
        <v>14</v>
      </c>
      <c r="U16" s="13">
        <v>0.73928571428571399</v>
      </c>
      <c r="X16" s="1" t="s">
        <v>14</v>
      </c>
      <c r="Y16" s="13">
        <v>0.85678571428571404</v>
      </c>
      <c r="AB16" s="1" t="s">
        <v>14</v>
      </c>
      <c r="AC16" s="13">
        <v>0.79892857142857099</v>
      </c>
      <c r="AD16" s="3"/>
      <c r="AE16" s="1" t="s">
        <v>14</v>
      </c>
      <c r="AF16" s="13">
        <v>0.70392857142857201</v>
      </c>
      <c r="AH16" s="3"/>
      <c r="AI16" s="1" t="s">
        <v>14</v>
      </c>
      <c r="AJ16" s="13">
        <v>0.83250000000000002</v>
      </c>
      <c r="AM16" s="1" t="s">
        <v>14</v>
      </c>
      <c r="AN16" s="13">
        <v>0.70392857142857201</v>
      </c>
      <c r="AQ16" s="1" t="s">
        <v>14</v>
      </c>
      <c r="AR16" s="13">
        <v>0.69714285714285695</v>
      </c>
      <c r="AU16" s="1" t="s">
        <v>14</v>
      </c>
      <c r="AV16" s="13">
        <v>0.77464285714285697</v>
      </c>
      <c r="AX16" s="1" t="s">
        <v>14</v>
      </c>
      <c r="AY16" s="13">
        <v>0.8</v>
      </c>
      <c r="BA16" s="1" t="s">
        <v>14</v>
      </c>
      <c r="BB16" s="13">
        <v>0.84571428571428597</v>
      </c>
      <c r="BD16" s="1" t="s">
        <v>14</v>
      </c>
      <c r="BE16" s="13">
        <v>0.89214285714285702</v>
      </c>
      <c r="BG16" s="1" t="s">
        <v>14</v>
      </c>
      <c r="BH16" s="13">
        <v>0.93142857142857105</v>
      </c>
      <c r="BJ16" s="1" t="s">
        <v>14</v>
      </c>
      <c r="BK16" s="13">
        <v>0.94785714285714295</v>
      </c>
      <c r="BM16" s="1" t="s">
        <v>14</v>
      </c>
      <c r="BN16" s="13">
        <v>0.95928571428571396</v>
      </c>
      <c r="BP16" s="1" t="s">
        <v>14</v>
      </c>
      <c r="BQ16" s="13">
        <v>0.96357142857142897</v>
      </c>
      <c r="BR16" s="3"/>
      <c r="BS16" s="1" t="s">
        <v>14</v>
      </c>
      <c r="BT16" s="13">
        <v>0.97785714285714298</v>
      </c>
      <c r="BV16" s="1" t="s">
        <v>14</v>
      </c>
      <c r="BW16" s="13">
        <v>0.97</v>
      </c>
      <c r="BY16" s="1" t="s">
        <v>14</v>
      </c>
      <c r="BZ16" s="13">
        <v>0.95857142857142796</v>
      </c>
      <c r="CB16" s="1" t="s">
        <v>14</v>
      </c>
      <c r="CC16" s="13">
        <v>0.95607142857142902</v>
      </c>
      <c r="CE16" s="1" t="s">
        <v>14</v>
      </c>
      <c r="CF16" s="13">
        <v>0.94678571428571401</v>
      </c>
      <c r="CH16" s="1" t="s">
        <v>14</v>
      </c>
      <c r="CI16" s="13">
        <v>0.97357142857142898</v>
      </c>
      <c r="CK16" s="1" t="s">
        <v>14</v>
      </c>
      <c r="CL16" s="13">
        <v>0.97642857142857098</v>
      </c>
      <c r="CN16" s="1" t="s">
        <v>14</v>
      </c>
      <c r="CO16" s="13">
        <v>0.97178571428571403</v>
      </c>
      <c r="CQ16" s="1" t="s">
        <v>14</v>
      </c>
      <c r="CR16" s="13">
        <v>0.97214285714285698</v>
      </c>
      <c r="CT16" s="1" t="s">
        <v>14</v>
      </c>
      <c r="CU16" s="13">
        <v>0.99107142857142905</v>
      </c>
      <c r="CV16" s="3"/>
      <c r="CW16" s="1" t="s">
        <v>14</v>
      </c>
      <c r="CX16" s="22">
        <v>0.98571428571428599</v>
      </c>
      <c r="CY16" s="3"/>
      <c r="CZ16" s="1" t="s">
        <v>14</v>
      </c>
      <c r="DA16" s="22">
        <v>0.98642857142857099</v>
      </c>
      <c r="DB16" s="3"/>
      <c r="DC16" s="1" t="s">
        <v>14</v>
      </c>
      <c r="DD16" s="13">
        <v>0.96035714285714302</v>
      </c>
      <c r="DE16" s="3"/>
      <c r="DG16" s="1" t="s">
        <v>14</v>
      </c>
      <c r="DH16" s="13">
        <v>0.90321428571428597</v>
      </c>
      <c r="DI16" s="3"/>
      <c r="DK16" s="1" t="s">
        <v>14</v>
      </c>
      <c r="DL16" s="13">
        <v>0.97750000000000004</v>
      </c>
      <c r="DM16" s="3"/>
      <c r="DO16" s="1" t="s">
        <v>14</v>
      </c>
      <c r="DP16" s="13">
        <v>0.99285714285714299</v>
      </c>
      <c r="DQ16" s="3"/>
      <c r="DR16" s="1" t="s">
        <v>14</v>
      </c>
      <c r="DS16" s="22">
        <v>0.99035714285714305</v>
      </c>
      <c r="DU16" s="1" t="s">
        <v>14</v>
      </c>
      <c r="DV16" s="22">
        <v>0.99357142857142899</v>
      </c>
      <c r="DX16" s="1" t="s">
        <v>14</v>
      </c>
      <c r="DY16" s="22">
        <v>0.99035714285714305</v>
      </c>
      <c r="DZ16" s="3"/>
      <c r="EA16" s="1" t="s">
        <v>14</v>
      </c>
      <c r="EB16" s="22">
        <v>0.98535714285714304</v>
      </c>
      <c r="EC16" s="3"/>
      <c r="ED16" s="1" t="s">
        <v>14</v>
      </c>
      <c r="EE16" s="22">
        <v>0.999285714285714</v>
      </c>
      <c r="EF16" s="3"/>
      <c r="EG16" s="1" t="s">
        <v>14</v>
      </c>
      <c r="EH16" s="13">
        <v>0.99107142857142905</v>
      </c>
      <c r="EI16" s="3"/>
      <c r="EJ16" s="1" t="s">
        <v>14</v>
      </c>
      <c r="EK16" s="13">
        <v>0.97607142857142903</v>
      </c>
      <c r="EL16" s="3"/>
      <c r="EM16" s="1" t="s">
        <v>14</v>
      </c>
      <c r="EN16" s="22">
        <v>0.96892857142857203</v>
      </c>
      <c r="EO16" s="3"/>
      <c r="EP16" s="1" t="s">
        <v>14</v>
      </c>
      <c r="EQ16" s="22">
        <v>0.96750000000000003</v>
      </c>
      <c r="ER16" s="3"/>
      <c r="ES16" s="1" t="s">
        <v>14</v>
      </c>
      <c r="ET16" s="20">
        <v>0.938214285714286</v>
      </c>
      <c r="EU16" s="3">
        <v>0.97785714285714298</v>
      </c>
      <c r="EV16" s="1" t="s">
        <v>14</v>
      </c>
      <c r="EW16" s="13">
        <v>0.94535714285714301</v>
      </c>
      <c r="EX16" s="3"/>
      <c r="EZ16" s="1" t="s">
        <v>14</v>
      </c>
      <c r="FA16" s="13">
        <v>0.99607142857142905</v>
      </c>
      <c r="FB16" s="3"/>
      <c r="FC16" s="1" t="s">
        <v>14</v>
      </c>
      <c r="FD16" s="22">
        <v>0.995</v>
      </c>
      <c r="FE16" s="3"/>
      <c r="FF16" s="1" t="s">
        <v>14</v>
      </c>
      <c r="FG16" s="23">
        <v>0.995</v>
      </c>
      <c r="FH16" s="4"/>
      <c r="FI16" s="1" t="s">
        <v>14</v>
      </c>
      <c r="FJ16" s="13">
        <v>0.996428571428572</v>
      </c>
      <c r="FK16" s="4"/>
      <c r="FL16" s="1" t="s">
        <v>14</v>
      </c>
      <c r="FM16" s="23">
        <v>0.997142857142857</v>
      </c>
      <c r="FN16" s="4"/>
      <c r="FO16" s="1" t="s">
        <v>14</v>
      </c>
      <c r="FP16" s="23">
        <v>0.997142857142857</v>
      </c>
      <c r="FQ16" s="4"/>
      <c r="FR16" s="1" t="s">
        <v>14</v>
      </c>
      <c r="FS16" s="22">
        <v>0.99750000000000005</v>
      </c>
      <c r="FT16" s="4"/>
      <c r="FU16" s="1" t="s">
        <v>14</v>
      </c>
      <c r="FV16" s="23">
        <v>0.99250000000000005</v>
      </c>
      <c r="FW16" s="4"/>
      <c r="FX16" s="1" t="s">
        <v>14</v>
      </c>
      <c r="FY16" s="23">
        <v>0.994285714285714</v>
      </c>
      <c r="FZ16" s="4"/>
      <c r="GA16" s="1" t="s">
        <v>14</v>
      </c>
      <c r="GB16" s="23">
        <v>0.97</v>
      </c>
      <c r="GC16" s="4"/>
      <c r="GE16" s="1" t="s">
        <v>14</v>
      </c>
      <c r="GF16" s="23">
        <v>0.98714285714285699</v>
      </c>
      <c r="GG16" s="4"/>
      <c r="GH16" s="1" t="s">
        <v>14</v>
      </c>
      <c r="GI16" s="23">
        <v>0.98714285714285699</v>
      </c>
      <c r="GJ16" s="4"/>
      <c r="GL16" s="1" t="s">
        <v>14</v>
      </c>
      <c r="GM16" s="23">
        <v>0.99892857142857105</v>
      </c>
      <c r="GN16" s="4"/>
      <c r="GO16" s="1" t="s">
        <v>14</v>
      </c>
      <c r="GP16" s="23">
        <v>0.98178571428571404</v>
      </c>
      <c r="GQ16" s="4"/>
    </row>
    <row r="17" spans="1:199" ht="15" thickBot="1" x14ac:dyDescent="0.35">
      <c r="A17" s="19">
        <v>220</v>
      </c>
      <c r="B17" s="1" t="s">
        <v>15</v>
      </c>
      <c r="C17" s="13">
        <v>0.95601173020527896</v>
      </c>
      <c r="E17" s="1" t="s">
        <v>15</v>
      </c>
      <c r="F17" s="13">
        <v>0.99413489736070404</v>
      </c>
      <c r="H17" s="1" t="s">
        <v>15</v>
      </c>
      <c r="I17" s="23">
        <v>0.99902248289345097</v>
      </c>
      <c r="L17" s="1" t="s">
        <v>15</v>
      </c>
      <c r="M17" s="13">
        <v>0.99071358748778104</v>
      </c>
      <c r="N17" s="3"/>
      <c r="P17" s="1" t="s">
        <v>15</v>
      </c>
      <c r="Q17" s="13">
        <v>0.97898338220918901</v>
      </c>
      <c r="T17" s="1" t="s">
        <v>15</v>
      </c>
      <c r="U17" s="13">
        <v>0.97018572825024396</v>
      </c>
      <c r="X17" s="1" t="s">
        <v>15</v>
      </c>
      <c r="Y17" s="13">
        <v>0.98973607038123201</v>
      </c>
      <c r="AB17" s="1" t="s">
        <v>15</v>
      </c>
      <c r="AC17" s="13">
        <v>0.89051808406647104</v>
      </c>
      <c r="AD17" s="3"/>
      <c r="AE17" s="1" t="s">
        <v>15</v>
      </c>
      <c r="AF17" s="13">
        <v>0.92033235581622697</v>
      </c>
      <c r="AH17" s="3"/>
      <c r="AI17" s="1" t="s">
        <v>15</v>
      </c>
      <c r="AJ17" s="13">
        <v>0.885630498533724</v>
      </c>
      <c r="AM17" s="1" t="s">
        <v>15</v>
      </c>
      <c r="AN17" s="13">
        <v>0.92033235581622697</v>
      </c>
      <c r="AQ17" s="1" t="s">
        <v>15</v>
      </c>
      <c r="AR17" s="13">
        <v>0.91300097751710696</v>
      </c>
      <c r="AU17" s="1" t="s">
        <v>15</v>
      </c>
      <c r="AV17" s="13">
        <v>0.92375366568914996</v>
      </c>
      <c r="AX17" s="1" t="s">
        <v>15</v>
      </c>
      <c r="AY17" s="13">
        <v>0.85386119257087001</v>
      </c>
      <c r="BA17" s="1" t="s">
        <v>15</v>
      </c>
      <c r="BB17" s="13">
        <v>0.92424242424242398</v>
      </c>
      <c r="BD17" s="1" t="s">
        <v>15</v>
      </c>
      <c r="BE17" s="13">
        <v>0.92717497556207196</v>
      </c>
      <c r="BG17" s="1" t="s">
        <v>15</v>
      </c>
      <c r="BH17" s="13">
        <v>0.92424242424242398</v>
      </c>
      <c r="BJ17" s="1" t="s">
        <v>15</v>
      </c>
      <c r="BK17" s="13">
        <v>0.91446725317693101</v>
      </c>
      <c r="BM17" s="1" t="s">
        <v>15</v>
      </c>
      <c r="BN17" s="13">
        <v>0.87732160312805496</v>
      </c>
      <c r="BP17" s="1" t="s">
        <v>15</v>
      </c>
      <c r="BQ17" s="13">
        <v>0.88856304985337198</v>
      </c>
      <c r="BR17" s="3"/>
      <c r="BS17" s="1" t="s">
        <v>15</v>
      </c>
      <c r="BT17" s="13">
        <v>0.88709677419354804</v>
      </c>
      <c r="BV17" s="1" t="s">
        <v>15</v>
      </c>
      <c r="BW17" s="13">
        <v>0.88611925708699901</v>
      </c>
      <c r="BY17" s="1" t="s">
        <v>15</v>
      </c>
      <c r="BZ17" s="13">
        <v>0.87438905180840698</v>
      </c>
      <c r="CB17" s="1" t="s">
        <v>15</v>
      </c>
      <c r="CC17" s="13">
        <v>0.85581622678396896</v>
      </c>
      <c r="CE17" s="1" t="s">
        <v>15</v>
      </c>
      <c r="CF17" s="13">
        <v>0.99462365591397905</v>
      </c>
      <c r="CH17" s="1" t="s">
        <v>15</v>
      </c>
      <c r="CI17" s="13">
        <v>0.99120234604105595</v>
      </c>
      <c r="CK17" s="1" t="s">
        <v>15</v>
      </c>
      <c r="CL17" s="13">
        <v>0.99364613880742902</v>
      </c>
      <c r="CN17" s="1" t="s">
        <v>15</v>
      </c>
      <c r="CO17" s="13">
        <v>0.99022482893450603</v>
      </c>
      <c r="CQ17" s="1" t="s">
        <v>15</v>
      </c>
      <c r="CR17" s="13">
        <v>0.98387096774193605</v>
      </c>
      <c r="CT17" s="1" t="s">
        <v>15</v>
      </c>
      <c r="CU17" s="13">
        <v>0.98729227761485805</v>
      </c>
      <c r="CV17" s="3"/>
      <c r="CW17" s="1" t="s">
        <v>15</v>
      </c>
      <c r="CX17" s="22">
        <v>0.989247311827957</v>
      </c>
      <c r="CY17" s="3"/>
      <c r="CZ17" s="1" t="s">
        <v>15</v>
      </c>
      <c r="DA17" s="22">
        <v>0.98680351906158403</v>
      </c>
      <c r="DB17" s="3"/>
      <c r="DC17" s="1" t="s">
        <v>15</v>
      </c>
      <c r="DD17" s="13">
        <v>0.989247311827957</v>
      </c>
      <c r="DE17" s="3"/>
      <c r="DG17" s="1" t="s">
        <v>15</v>
      </c>
      <c r="DH17" s="13">
        <v>0.99315738025415501</v>
      </c>
      <c r="DI17" s="3"/>
      <c r="DK17" s="1" t="s">
        <v>15</v>
      </c>
      <c r="DL17" s="13">
        <v>0.99120234604105595</v>
      </c>
      <c r="DM17" s="3"/>
      <c r="DO17" s="1" t="s">
        <v>15</v>
      </c>
      <c r="DP17" s="13">
        <v>0.99266862170087999</v>
      </c>
      <c r="DQ17" s="3"/>
      <c r="DR17" s="1" t="s">
        <v>15</v>
      </c>
      <c r="DS17" s="22">
        <v>0.99706744868035202</v>
      </c>
      <c r="DU17" s="1" t="s">
        <v>15</v>
      </c>
      <c r="DV17" s="22">
        <v>0.99755620723362703</v>
      </c>
      <c r="DX17" s="1" t="s">
        <v>15</v>
      </c>
      <c r="DY17" s="22">
        <v>0.99266862170087999</v>
      </c>
      <c r="DZ17" s="3"/>
      <c r="EA17" s="1" t="s">
        <v>15</v>
      </c>
      <c r="EB17" s="22">
        <v>0.98484848484848497</v>
      </c>
      <c r="EC17" s="3"/>
      <c r="ED17" s="1" t="s">
        <v>15</v>
      </c>
      <c r="EE17" s="22">
        <v>0.99462365591397905</v>
      </c>
      <c r="EF17" s="3"/>
      <c r="EG17" s="1" t="s">
        <v>15</v>
      </c>
      <c r="EH17" s="13">
        <v>0.98240469208211201</v>
      </c>
      <c r="EI17" s="3"/>
      <c r="EJ17" s="1" t="s">
        <v>15</v>
      </c>
      <c r="EK17" s="13">
        <v>0.98729227761485805</v>
      </c>
      <c r="EL17" s="3"/>
      <c r="EM17" s="1" t="s">
        <v>15</v>
      </c>
      <c r="EN17" s="22">
        <v>0.99120234604105595</v>
      </c>
      <c r="EO17" s="3"/>
      <c r="EP17" s="1" t="s">
        <v>15</v>
      </c>
      <c r="EQ17" s="22">
        <v>0.98435972629520996</v>
      </c>
      <c r="ER17" s="3"/>
      <c r="ES17" s="1" t="s">
        <v>15</v>
      </c>
      <c r="ET17" s="20">
        <v>0.97898338220918901</v>
      </c>
      <c r="EU17" s="3">
        <v>0.97409579667644197</v>
      </c>
      <c r="EV17" s="1" t="s">
        <v>15</v>
      </c>
      <c r="EW17" s="13">
        <v>0.98875855327468198</v>
      </c>
      <c r="EX17" s="3"/>
      <c r="EZ17" s="1" t="s">
        <v>15</v>
      </c>
      <c r="FA17" s="13">
        <v>0.99413489736070404</v>
      </c>
      <c r="FB17" s="3"/>
      <c r="FC17" s="1" t="s">
        <v>15</v>
      </c>
      <c r="FD17" s="22">
        <v>0.99364613880742902</v>
      </c>
      <c r="FE17" s="3"/>
      <c r="FF17" s="1" t="s">
        <v>15</v>
      </c>
      <c r="FG17" s="23">
        <v>0.996578690127077</v>
      </c>
      <c r="FH17" s="4"/>
      <c r="FI17" s="1" t="s">
        <v>15</v>
      </c>
      <c r="FJ17" s="13">
        <v>0.99706744868035202</v>
      </c>
      <c r="FK17" s="4"/>
      <c r="FL17" s="1" t="s">
        <v>15</v>
      </c>
      <c r="FM17" s="23">
        <v>0.99706744868035202</v>
      </c>
      <c r="FN17" s="4"/>
      <c r="FO17" s="1" t="s">
        <v>15</v>
      </c>
      <c r="FP17" s="23">
        <v>0.99413489736070404</v>
      </c>
      <c r="FQ17" s="4"/>
      <c r="FR17" s="1" t="s">
        <v>15</v>
      </c>
      <c r="FS17" s="22">
        <v>0.99266862170087999</v>
      </c>
      <c r="FT17" s="4"/>
      <c r="FU17" s="1" t="s">
        <v>15</v>
      </c>
      <c r="FV17" s="23">
        <v>0.98973607038123201</v>
      </c>
      <c r="FW17" s="4"/>
      <c r="FX17" s="1" t="s">
        <v>15</v>
      </c>
      <c r="FY17" s="23">
        <v>0.99217986314760498</v>
      </c>
      <c r="FZ17" s="4"/>
      <c r="GA17" s="1" t="s">
        <v>15</v>
      </c>
      <c r="GB17" s="23">
        <v>0.93304007820136903</v>
      </c>
      <c r="GC17" s="4"/>
      <c r="GE17" s="1" t="s">
        <v>15</v>
      </c>
      <c r="GF17" s="23">
        <v>0.98680351906158403</v>
      </c>
      <c r="GG17" s="4"/>
      <c r="GH17" s="1" t="s">
        <v>15</v>
      </c>
      <c r="GI17" s="23">
        <v>0.98680351906158403</v>
      </c>
      <c r="GJ17" s="4"/>
      <c r="GL17" s="1" t="s">
        <v>15</v>
      </c>
      <c r="GM17" s="23">
        <v>0.98729227761485805</v>
      </c>
      <c r="GN17" s="4"/>
      <c r="GO17" s="1" t="s">
        <v>15</v>
      </c>
      <c r="GP17" s="23">
        <v>0.99462365591397905</v>
      </c>
      <c r="GQ17" s="4"/>
    </row>
    <row r="18" spans="1:199" ht="15" thickBot="1" x14ac:dyDescent="0.35">
      <c r="A18" s="19">
        <v>267</v>
      </c>
      <c r="B18" s="1" t="s">
        <v>16</v>
      </c>
      <c r="C18" s="13">
        <v>0.84588106928532503</v>
      </c>
      <c r="E18" s="1" t="s">
        <v>16</v>
      </c>
      <c r="F18" s="13">
        <v>0.87534097108565201</v>
      </c>
      <c r="H18" s="1" t="s">
        <v>16</v>
      </c>
      <c r="I18" s="23">
        <v>0.97981451172940504</v>
      </c>
      <c r="L18" s="1" t="s">
        <v>16</v>
      </c>
      <c r="M18" s="13">
        <v>0.84533551554828201</v>
      </c>
      <c r="N18" s="3"/>
      <c r="P18" s="1" t="s">
        <v>16</v>
      </c>
      <c r="Q18" s="13">
        <v>0.74768139661756705</v>
      </c>
      <c r="T18" s="1" t="s">
        <v>16</v>
      </c>
      <c r="U18" s="13">
        <v>0.90370976541189296</v>
      </c>
      <c r="X18" s="1" t="s">
        <v>16</v>
      </c>
      <c r="Y18" s="13">
        <v>0.83142389525368199</v>
      </c>
      <c r="AB18" s="1" t="s">
        <v>16</v>
      </c>
      <c r="AC18" s="13">
        <v>0.68794326241134796</v>
      </c>
      <c r="AD18" s="3"/>
      <c r="AE18" s="1" t="s">
        <v>16</v>
      </c>
      <c r="AF18" s="13">
        <v>0.74604473540643801</v>
      </c>
      <c r="AH18" s="3"/>
      <c r="AI18" s="1" t="s">
        <v>16</v>
      </c>
      <c r="AJ18" s="13">
        <v>0.72695035460992896</v>
      </c>
      <c r="AM18" s="1" t="s">
        <v>16</v>
      </c>
      <c r="AN18" s="13">
        <v>0.74604473540643801</v>
      </c>
      <c r="AQ18" s="1" t="s">
        <v>16</v>
      </c>
      <c r="AR18" s="13">
        <v>0.72067648663393402</v>
      </c>
      <c r="AU18" s="1" t="s">
        <v>16</v>
      </c>
      <c r="AV18" s="13">
        <v>0.77741407528641604</v>
      </c>
      <c r="AX18" s="1" t="s">
        <v>16</v>
      </c>
      <c r="AY18" s="13">
        <v>0.71058374249863598</v>
      </c>
      <c r="BA18" s="1" t="s">
        <v>16</v>
      </c>
      <c r="BB18" s="13">
        <v>0.79896344789961804</v>
      </c>
      <c r="BD18" s="1" t="s">
        <v>16</v>
      </c>
      <c r="BE18" s="13">
        <v>0.82733224222585899</v>
      </c>
      <c r="BG18" s="1" t="s">
        <v>16</v>
      </c>
      <c r="BH18" s="13">
        <v>0.83687943262411302</v>
      </c>
      <c r="BJ18" s="1" t="s">
        <v>16</v>
      </c>
      <c r="BK18" s="13">
        <v>0.84806328423349697</v>
      </c>
      <c r="BM18" s="1" t="s">
        <v>16</v>
      </c>
      <c r="BN18" s="13">
        <v>0.83551554828150598</v>
      </c>
      <c r="BP18" s="1" t="s">
        <v>16</v>
      </c>
      <c r="BQ18" s="13">
        <v>0.86524822695035497</v>
      </c>
      <c r="BR18" s="3"/>
      <c r="BS18" s="1" t="s">
        <v>16</v>
      </c>
      <c r="BT18" s="13">
        <v>0.86252045826513901</v>
      </c>
      <c r="BV18" s="1" t="s">
        <v>16</v>
      </c>
      <c r="BW18" s="13">
        <v>0.85924713584288104</v>
      </c>
      <c r="BY18" s="1" t="s">
        <v>16</v>
      </c>
      <c r="BZ18" s="13">
        <v>0.83496999454446297</v>
      </c>
      <c r="CB18" s="1" t="s">
        <v>16</v>
      </c>
      <c r="CC18" s="13">
        <v>0.88079650845608304</v>
      </c>
      <c r="CE18" s="1" t="s">
        <v>16</v>
      </c>
      <c r="CF18" s="13">
        <v>0.76704855428259699</v>
      </c>
      <c r="CH18" s="1" t="s">
        <v>16</v>
      </c>
      <c r="CI18" s="13">
        <v>0.88925259138025103</v>
      </c>
      <c r="CK18" s="1" t="s">
        <v>16</v>
      </c>
      <c r="CL18" s="13">
        <v>0.87861429350790998</v>
      </c>
      <c r="CN18" s="1" t="s">
        <v>16</v>
      </c>
      <c r="CO18" s="13">
        <v>0.87506819421713</v>
      </c>
      <c r="CQ18" s="1" t="s">
        <v>16</v>
      </c>
      <c r="CR18" s="13">
        <v>0.85051827605019104</v>
      </c>
      <c r="CT18" s="1" t="s">
        <v>16</v>
      </c>
      <c r="CU18" s="13">
        <v>0.93807965084560796</v>
      </c>
      <c r="CV18" s="3"/>
      <c r="CW18" s="1" t="s">
        <v>16</v>
      </c>
      <c r="CX18" s="22">
        <v>0.92416803055100905</v>
      </c>
      <c r="CY18" s="3"/>
      <c r="CZ18" s="1" t="s">
        <v>16</v>
      </c>
      <c r="DA18" s="22">
        <v>0.95635570103655199</v>
      </c>
      <c r="DB18" s="3"/>
      <c r="DC18" s="1" t="s">
        <v>16</v>
      </c>
      <c r="DD18" s="13">
        <v>0.96453900709219798</v>
      </c>
      <c r="DE18" s="3"/>
      <c r="DG18" s="1" t="s">
        <v>16</v>
      </c>
      <c r="DH18" s="13">
        <v>0.930987452264048</v>
      </c>
      <c r="DI18" s="3"/>
      <c r="DK18" s="1" t="s">
        <v>16</v>
      </c>
      <c r="DL18" s="13">
        <v>0.93153300600109101</v>
      </c>
      <c r="DM18" s="3"/>
      <c r="DO18" s="1" t="s">
        <v>16</v>
      </c>
      <c r="DP18" s="13">
        <v>0.95390070921985803</v>
      </c>
      <c r="DQ18" s="3"/>
      <c r="DR18" s="1" t="s">
        <v>16</v>
      </c>
      <c r="DS18" s="22">
        <v>0.95035460992907805</v>
      </c>
      <c r="DU18" s="1" t="s">
        <v>16</v>
      </c>
      <c r="DV18" s="22">
        <v>0.95853791598472504</v>
      </c>
      <c r="DX18" s="1" t="s">
        <v>16</v>
      </c>
      <c r="DY18" s="22">
        <v>0.95362793235133703</v>
      </c>
      <c r="DZ18" s="3"/>
      <c r="EA18" s="1" t="s">
        <v>16</v>
      </c>
      <c r="EB18" s="22">
        <v>0.939716312056738</v>
      </c>
      <c r="EC18" s="3"/>
      <c r="ED18" s="1" t="s">
        <v>16</v>
      </c>
      <c r="EE18" s="22">
        <v>0.92307692307692302</v>
      </c>
      <c r="EF18" s="3"/>
      <c r="EG18" s="1" t="s">
        <v>16</v>
      </c>
      <c r="EH18" s="13">
        <v>0.85106382978723405</v>
      </c>
      <c r="EI18" s="3"/>
      <c r="EJ18" s="1" t="s">
        <v>16</v>
      </c>
      <c r="EK18" s="13">
        <v>0.89852700490998405</v>
      </c>
      <c r="EL18" s="3"/>
      <c r="EM18" s="1" t="s">
        <v>16</v>
      </c>
      <c r="EN18" s="22">
        <v>0.92444080741953105</v>
      </c>
      <c r="EO18" s="3"/>
      <c r="EP18" s="1" t="s">
        <v>16</v>
      </c>
      <c r="EQ18" s="22">
        <v>0.92444080741953105</v>
      </c>
      <c r="ER18" s="3"/>
      <c r="ES18" s="1" t="s">
        <v>16</v>
      </c>
      <c r="ET18" s="20">
        <v>0.89634478996181099</v>
      </c>
      <c r="EU18" s="3">
        <v>0.79650845608292398</v>
      </c>
      <c r="EV18" s="1" t="s">
        <v>16</v>
      </c>
      <c r="EW18" s="13">
        <v>0.90861974904528098</v>
      </c>
      <c r="EX18" s="3"/>
      <c r="EZ18" s="1" t="s">
        <v>16</v>
      </c>
      <c r="FA18" s="13">
        <v>0.93235133660665603</v>
      </c>
      <c r="FB18" s="3"/>
      <c r="FC18" s="1" t="s">
        <v>16</v>
      </c>
      <c r="FD18" s="22">
        <v>0.93671576650300103</v>
      </c>
      <c r="FE18" s="3"/>
      <c r="FF18" s="1" t="s">
        <v>16</v>
      </c>
      <c r="FG18" s="23">
        <v>0.93562465902891401</v>
      </c>
      <c r="FH18" s="4"/>
      <c r="FI18" s="1" t="s">
        <v>16</v>
      </c>
      <c r="FJ18" s="13">
        <v>0.94189852700490995</v>
      </c>
      <c r="FK18" s="4"/>
      <c r="FL18" s="1" t="s">
        <v>16</v>
      </c>
      <c r="FM18" s="23">
        <v>0.95008183306055705</v>
      </c>
      <c r="FN18" s="4"/>
      <c r="FO18" s="1" t="s">
        <v>16</v>
      </c>
      <c r="FP18" s="23">
        <v>0.96235679214402603</v>
      </c>
      <c r="FQ18" s="4"/>
      <c r="FR18" s="1" t="s">
        <v>16</v>
      </c>
      <c r="FS18" s="22">
        <v>0.95471903982542305</v>
      </c>
      <c r="FT18" s="4"/>
      <c r="FU18" s="1" t="s">
        <v>16</v>
      </c>
      <c r="FV18" s="23">
        <v>0.96590289143480601</v>
      </c>
      <c r="FW18" s="4"/>
      <c r="FX18" s="1" t="s">
        <v>16</v>
      </c>
      <c r="FY18" s="23">
        <v>0.91953082378614304</v>
      </c>
      <c r="FZ18" s="4"/>
      <c r="GA18" s="1" t="s">
        <v>16</v>
      </c>
      <c r="GB18" s="23">
        <v>0.82869612656846703</v>
      </c>
      <c r="GC18" s="4"/>
      <c r="GE18" s="1" t="s">
        <v>16</v>
      </c>
      <c r="GF18" s="23">
        <v>0.89607201309328999</v>
      </c>
      <c r="GG18" s="4"/>
      <c r="GH18" s="1" t="s">
        <v>16</v>
      </c>
      <c r="GI18" s="23">
        <v>0.89607201309328999</v>
      </c>
      <c r="GJ18" s="4"/>
      <c r="GL18" s="1" t="s">
        <v>16</v>
      </c>
      <c r="GM18" s="23">
        <v>0.85242771412984197</v>
      </c>
      <c r="GN18" s="4"/>
      <c r="GO18" s="1" t="s">
        <v>16</v>
      </c>
      <c r="GP18" s="23">
        <v>0.92880523731587605</v>
      </c>
      <c r="GQ18" s="4"/>
    </row>
    <row r="19" spans="1:199" ht="15" thickBot="1" x14ac:dyDescent="0.35">
      <c r="A19" s="19">
        <v>320</v>
      </c>
      <c r="B19" s="1" t="s">
        <v>17</v>
      </c>
      <c r="C19" s="13">
        <v>0.694814511170322</v>
      </c>
      <c r="E19" s="1" t="s">
        <v>17</v>
      </c>
      <c r="F19" s="13">
        <v>0.84812461569993902</v>
      </c>
      <c r="H19" s="1" t="s">
        <v>17</v>
      </c>
      <c r="I19" s="23">
        <v>0.89711006353761003</v>
      </c>
      <c r="L19" s="1" t="s">
        <v>17</v>
      </c>
      <c r="M19" s="13">
        <v>0.71633531461364996</v>
      </c>
      <c r="N19" s="3"/>
      <c r="P19" s="1" t="s">
        <v>17</v>
      </c>
      <c r="Q19" s="13">
        <v>0.69952859192457495</v>
      </c>
      <c r="T19" s="1" t="s">
        <v>17</v>
      </c>
      <c r="U19" s="13">
        <v>0.78909612625537995</v>
      </c>
      <c r="X19" s="1" t="s">
        <v>17</v>
      </c>
      <c r="Y19" s="13">
        <v>0.72002459520393503</v>
      </c>
      <c r="AB19" s="1" t="s">
        <v>17</v>
      </c>
      <c r="AC19" s="13">
        <v>0.57614265218282401</v>
      </c>
      <c r="AD19" s="3"/>
      <c r="AE19" s="1" t="s">
        <v>17</v>
      </c>
      <c r="AF19" s="13">
        <v>0.65054314408690295</v>
      </c>
      <c r="AH19" s="3"/>
      <c r="AI19" s="1" t="s">
        <v>17</v>
      </c>
      <c r="AJ19" s="13">
        <v>0.583316253330601</v>
      </c>
      <c r="AM19" s="1" t="s">
        <v>17</v>
      </c>
      <c r="AN19" s="13">
        <v>0.65054314408690295</v>
      </c>
      <c r="AQ19" s="1" t="s">
        <v>17</v>
      </c>
      <c r="AR19" s="13">
        <v>0.65074810411969697</v>
      </c>
      <c r="AU19" s="1" t="s">
        <v>17</v>
      </c>
      <c r="AV19" s="13">
        <v>0.642754662840746</v>
      </c>
      <c r="AX19" s="1" t="s">
        <v>17</v>
      </c>
      <c r="AY19" s="13">
        <v>0.55954088952654202</v>
      </c>
      <c r="BA19" s="1" t="s">
        <v>17</v>
      </c>
      <c r="BB19" s="13">
        <v>0.66530026644804297</v>
      </c>
      <c r="BD19" s="1" t="s">
        <v>17</v>
      </c>
      <c r="BE19" s="13">
        <v>0.69460955113752798</v>
      </c>
      <c r="BG19" s="1" t="s">
        <v>17</v>
      </c>
      <c r="BH19" s="13">
        <v>0.71920475507276105</v>
      </c>
      <c r="BJ19" s="1" t="s">
        <v>17</v>
      </c>
      <c r="BK19" s="13">
        <v>0.75117852018856301</v>
      </c>
      <c r="BM19" s="1" t="s">
        <v>17</v>
      </c>
      <c r="BN19" s="13">
        <v>0.782332445173191</v>
      </c>
      <c r="BP19" s="1" t="s">
        <v>17</v>
      </c>
      <c r="BQ19" s="13">
        <v>0.75917196146751398</v>
      </c>
      <c r="BR19" s="3"/>
      <c r="BS19" s="1" t="s">
        <v>17</v>
      </c>
      <c r="BT19" s="13">
        <v>0.73908587825374095</v>
      </c>
      <c r="BV19" s="1" t="s">
        <v>17</v>
      </c>
      <c r="BW19" s="13">
        <v>0.70916171346587398</v>
      </c>
      <c r="BY19" s="1" t="s">
        <v>17</v>
      </c>
      <c r="BZ19" s="13">
        <v>0.68005738880918198</v>
      </c>
      <c r="CB19" s="1" t="s">
        <v>17</v>
      </c>
      <c r="CC19" s="13">
        <v>0.69010043041606906</v>
      </c>
      <c r="CE19" s="1" t="s">
        <v>17</v>
      </c>
      <c r="CF19" s="13">
        <v>0.79811436769829902</v>
      </c>
      <c r="CH19" s="1" t="s">
        <v>17</v>
      </c>
      <c r="CI19" s="13">
        <v>0.87722894035663102</v>
      </c>
      <c r="CK19" s="1" t="s">
        <v>17</v>
      </c>
      <c r="CL19" s="13">
        <v>0.87067021930723498</v>
      </c>
      <c r="CN19" s="1" t="s">
        <v>17</v>
      </c>
      <c r="CO19" s="13">
        <v>0.862471817995491</v>
      </c>
      <c r="CQ19" s="1" t="s">
        <v>17</v>
      </c>
      <c r="CR19" s="13">
        <v>0.858372617339619</v>
      </c>
      <c r="CT19" s="1" t="s">
        <v>17</v>
      </c>
      <c r="CU19" s="13">
        <v>0.95183439229350297</v>
      </c>
      <c r="CV19" s="3"/>
      <c r="CW19" s="1" t="s">
        <v>17</v>
      </c>
      <c r="CX19" s="22">
        <v>0.92846894855503204</v>
      </c>
      <c r="CY19" s="3"/>
      <c r="CZ19" s="1" t="s">
        <v>17</v>
      </c>
      <c r="DA19" s="22">
        <v>0.96618159458905495</v>
      </c>
      <c r="DB19" s="3"/>
      <c r="DC19" s="1" t="s">
        <v>17</v>
      </c>
      <c r="DD19" s="13">
        <v>0.94158639065382299</v>
      </c>
      <c r="DE19" s="3"/>
      <c r="DG19" s="1" t="s">
        <v>17</v>
      </c>
      <c r="DH19" s="13">
        <v>0.91473662635786002</v>
      </c>
      <c r="DI19" s="3"/>
      <c r="DK19" s="1" t="s">
        <v>17</v>
      </c>
      <c r="DL19" s="13">
        <v>0.92723918835827002</v>
      </c>
      <c r="DM19" s="3"/>
      <c r="DO19" s="1" t="s">
        <v>17</v>
      </c>
      <c r="DP19" s="13">
        <v>0.921910227505636</v>
      </c>
      <c r="DQ19" s="3"/>
      <c r="DR19" s="1" t="s">
        <v>17</v>
      </c>
      <c r="DS19" s="22">
        <v>0.93277310924369805</v>
      </c>
      <c r="DU19" s="1" t="s">
        <v>17</v>
      </c>
      <c r="DV19" s="22">
        <v>0.95080959212953498</v>
      </c>
      <c r="DX19" s="1" t="s">
        <v>17</v>
      </c>
      <c r="DY19" s="22">
        <v>0.94343103094896497</v>
      </c>
      <c r="DZ19" s="3"/>
      <c r="EA19" s="1" t="s">
        <v>17</v>
      </c>
      <c r="EB19" s="22">
        <v>0.67001434720229602</v>
      </c>
      <c r="EC19" s="3"/>
      <c r="ED19" s="1" t="s">
        <v>17</v>
      </c>
      <c r="EE19" s="22">
        <v>0.94486575117852001</v>
      </c>
      <c r="EF19" s="3"/>
      <c r="EG19" s="1" t="s">
        <v>17</v>
      </c>
      <c r="EH19" s="13">
        <v>0.90735806517729101</v>
      </c>
      <c r="EI19" s="3"/>
      <c r="EJ19" s="1" t="s">
        <v>17</v>
      </c>
      <c r="EK19" s="13">
        <v>0.91289198606271804</v>
      </c>
      <c r="EL19" s="3"/>
      <c r="EM19" s="1" t="s">
        <v>17</v>
      </c>
      <c r="EN19" s="22">
        <v>0.93769215003074402</v>
      </c>
      <c r="EO19" s="3"/>
      <c r="EP19" s="1" t="s">
        <v>17</v>
      </c>
      <c r="EQ19" s="22">
        <v>0.93502766960442696</v>
      </c>
      <c r="ER19" s="3"/>
      <c r="ES19" s="1" t="s">
        <v>17</v>
      </c>
      <c r="ET19" s="20">
        <v>0.75035868005738904</v>
      </c>
      <c r="EU19" s="3">
        <v>0.90059438409510095</v>
      </c>
      <c r="EV19" s="1" t="s">
        <v>17</v>
      </c>
      <c r="EW19" s="13">
        <v>0.87845870055339204</v>
      </c>
      <c r="EX19" s="3"/>
      <c r="EZ19" s="1" t="s">
        <v>17</v>
      </c>
      <c r="FA19" s="13">
        <v>0.94117647058823495</v>
      </c>
      <c r="FB19" s="3"/>
      <c r="FC19" s="1" t="s">
        <v>17</v>
      </c>
      <c r="FD19" s="22">
        <v>0.93010862881738099</v>
      </c>
      <c r="FE19" s="3"/>
      <c r="FF19" s="1" t="s">
        <v>17</v>
      </c>
      <c r="FG19" s="23">
        <v>0.93174830907972905</v>
      </c>
      <c r="FH19" s="4"/>
      <c r="FI19" s="1" t="s">
        <v>17</v>
      </c>
      <c r="FJ19" s="13">
        <v>0.93564254970280802</v>
      </c>
      <c r="FK19" s="4"/>
      <c r="FL19" s="1" t="s">
        <v>17</v>
      </c>
      <c r="FM19" s="23">
        <v>0.95142447222791604</v>
      </c>
      <c r="FN19" s="4"/>
      <c r="FO19" s="1" t="s">
        <v>17</v>
      </c>
      <c r="FP19" s="23">
        <v>0.97007583521213403</v>
      </c>
      <c r="FQ19" s="4"/>
      <c r="FR19" s="1" t="s">
        <v>17</v>
      </c>
      <c r="FS19" s="22">
        <v>0.94773519163763098</v>
      </c>
      <c r="FT19" s="4"/>
      <c r="FU19" s="1" t="s">
        <v>17</v>
      </c>
      <c r="FV19" s="23">
        <v>0.95490879278540697</v>
      </c>
      <c r="FW19" s="4"/>
      <c r="FX19" s="1" t="s">
        <v>17</v>
      </c>
      <c r="FY19" s="23">
        <v>0.94404591104734603</v>
      </c>
      <c r="FZ19" s="4"/>
      <c r="GA19" s="1" t="s">
        <v>17</v>
      </c>
      <c r="GB19" s="23">
        <v>0.81369133019061302</v>
      </c>
      <c r="GC19" s="4"/>
      <c r="GE19" s="1" t="s">
        <v>17</v>
      </c>
      <c r="GF19" s="23">
        <v>0.94835007173601205</v>
      </c>
      <c r="GG19" s="4"/>
      <c r="GH19" s="1" t="s">
        <v>17</v>
      </c>
      <c r="GI19" s="23">
        <v>0.94835007173601205</v>
      </c>
      <c r="GJ19" s="4"/>
      <c r="GL19" s="1" t="s">
        <v>17</v>
      </c>
      <c r="GM19" s="23">
        <v>0.90079934412789497</v>
      </c>
      <c r="GN19" s="4"/>
      <c r="GO19" s="1" t="s">
        <v>17</v>
      </c>
      <c r="GP19" s="23">
        <v>0.94261119081779099</v>
      </c>
      <c r="GQ19" s="4"/>
    </row>
    <row r="20" spans="1:199" ht="15" thickBot="1" x14ac:dyDescent="0.35">
      <c r="A20" s="19">
        <v>60</v>
      </c>
      <c r="B20" s="1" t="s">
        <v>18</v>
      </c>
      <c r="C20" s="13">
        <v>0.91944444444444395</v>
      </c>
      <c r="E20" s="1" t="s">
        <v>18</v>
      </c>
      <c r="F20" s="13">
        <v>0.99166666666666703</v>
      </c>
      <c r="H20" s="1" t="s">
        <v>18</v>
      </c>
      <c r="I20" s="23">
        <v>0.99722222222222201</v>
      </c>
      <c r="L20" s="1" t="s">
        <v>18</v>
      </c>
      <c r="M20" s="13">
        <v>0.96388888888888902</v>
      </c>
      <c r="N20" s="3"/>
      <c r="P20" s="1" t="s">
        <v>18</v>
      </c>
      <c r="Q20" s="13">
        <v>0.97222222222222199</v>
      </c>
      <c r="T20" s="1" t="s">
        <v>18</v>
      </c>
      <c r="U20" s="13">
        <v>0.96666666666666701</v>
      </c>
      <c r="X20" s="1" t="s">
        <v>18</v>
      </c>
      <c r="Y20" s="13">
        <v>0.98055555555555596</v>
      </c>
      <c r="AB20" s="1" t="s">
        <v>18</v>
      </c>
      <c r="AC20" s="13">
        <v>0.99722222222222201</v>
      </c>
      <c r="AD20" s="3"/>
      <c r="AE20" s="1" t="s">
        <v>18</v>
      </c>
      <c r="AF20" s="13">
        <v>0.92777777777777803</v>
      </c>
      <c r="AH20" s="3"/>
      <c r="AI20" s="1" t="s">
        <v>18</v>
      </c>
      <c r="AJ20" s="13">
        <v>0.99444444444444402</v>
      </c>
      <c r="AM20" s="1" t="s">
        <v>18</v>
      </c>
      <c r="AN20" s="13">
        <v>0.92777777777777803</v>
      </c>
      <c r="AQ20" s="1" t="s">
        <v>18</v>
      </c>
      <c r="AR20" s="13">
        <v>0.94166666666666698</v>
      </c>
      <c r="AU20" s="1" t="s">
        <v>18</v>
      </c>
      <c r="AV20" s="13">
        <v>0.98888888888888904</v>
      </c>
      <c r="AX20" s="1" t="s">
        <v>18</v>
      </c>
      <c r="AY20" s="13">
        <v>1</v>
      </c>
      <c r="BA20" s="1" t="s">
        <v>18</v>
      </c>
      <c r="BB20" s="13">
        <v>1</v>
      </c>
      <c r="BD20" s="1" t="s">
        <v>18</v>
      </c>
      <c r="BE20" s="13">
        <v>1</v>
      </c>
      <c r="BG20" s="1" t="s">
        <v>18</v>
      </c>
      <c r="BH20" s="13">
        <v>1</v>
      </c>
      <c r="BJ20" s="1" t="s">
        <v>18</v>
      </c>
      <c r="BK20" s="13">
        <v>1</v>
      </c>
      <c r="BM20" s="1" t="s">
        <v>18</v>
      </c>
      <c r="BN20" s="13">
        <v>1</v>
      </c>
      <c r="BP20" s="1" t="s">
        <v>18</v>
      </c>
      <c r="BQ20" s="13">
        <v>1</v>
      </c>
      <c r="BR20" s="3"/>
      <c r="BS20" s="1" t="s">
        <v>18</v>
      </c>
      <c r="BT20" s="13">
        <v>1</v>
      </c>
      <c r="BV20" s="1" t="s">
        <v>18</v>
      </c>
      <c r="BW20" s="13">
        <v>1</v>
      </c>
      <c r="BY20" s="1" t="s">
        <v>18</v>
      </c>
      <c r="BZ20" s="13">
        <v>1</v>
      </c>
      <c r="CB20" s="1" t="s">
        <v>18</v>
      </c>
      <c r="CC20" s="13">
        <v>1</v>
      </c>
      <c r="CE20" s="1" t="s">
        <v>18</v>
      </c>
      <c r="CF20" s="13">
        <v>1</v>
      </c>
      <c r="CH20" s="1" t="s">
        <v>18</v>
      </c>
      <c r="CI20" s="13">
        <v>1</v>
      </c>
      <c r="CK20" s="1" t="s">
        <v>18</v>
      </c>
      <c r="CL20" s="13">
        <v>1</v>
      </c>
      <c r="CN20" s="1" t="s">
        <v>18</v>
      </c>
      <c r="CO20" s="13">
        <v>0.99722222222222201</v>
      </c>
      <c r="CQ20" s="1" t="s">
        <v>18</v>
      </c>
      <c r="CR20" s="13">
        <v>0.99722222222222201</v>
      </c>
      <c r="CT20" s="1" t="s">
        <v>18</v>
      </c>
      <c r="CU20" s="13">
        <v>1</v>
      </c>
      <c r="CV20" s="3"/>
      <c r="CW20" s="1" t="s">
        <v>18</v>
      </c>
      <c r="CX20" s="22">
        <v>1</v>
      </c>
      <c r="CY20" s="3"/>
      <c r="CZ20" s="1" t="s">
        <v>18</v>
      </c>
      <c r="DA20" s="22">
        <v>1</v>
      </c>
      <c r="DB20" s="3"/>
      <c r="DC20" s="1" t="s">
        <v>18</v>
      </c>
      <c r="DD20" s="13">
        <v>1</v>
      </c>
      <c r="DE20" s="3"/>
      <c r="DG20" s="1" t="s">
        <v>18</v>
      </c>
      <c r="DH20" s="13">
        <v>0.99722222222222201</v>
      </c>
      <c r="DI20" s="3"/>
      <c r="DK20" s="1" t="s">
        <v>18</v>
      </c>
      <c r="DL20" s="13">
        <v>1</v>
      </c>
      <c r="DM20" s="3"/>
      <c r="DO20" s="1" t="s">
        <v>18</v>
      </c>
      <c r="DP20" s="13">
        <v>0.97222222222222199</v>
      </c>
      <c r="DQ20" s="3"/>
      <c r="DR20" s="1" t="s">
        <v>18</v>
      </c>
      <c r="DS20" s="22">
        <v>0.97499999999999998</v>
      </c>
      <c r="DU20" s="1" t="s">
        <v>18</v>
      </c>
      <c r="DV20" s="22">
        <v>0.96666666666666701</v>
      </c>
      <c r="DX20" s="1" t="s">
        <v>18</v>
      </c>
      <c r="DY20" s="22">
        <v>0.97499999999999998</v>
      </c>
      <c r="DZ20" s="3"/>
      <c r="EA20" s="1" t="s">
        <v>18</v>
      </c>
      <c r="EB20" s="22">
        <v>0.98333333333333295</v>
      </c>
      <c r="EC20" s="3"/>
      <c r="ED20" s="1" t="s">
        <v>18</v>
      </c>
      <c r="EE20" s="22">
        <v>0.99444444444444402</v>
      </c>
      <c r="EF20" s="3"/>
      <c r="EG20" s="1" t="s">
        <v>18</v>
      </c>
      <c r="EH20" s="13">
        <v>0.97499999999999998</v>
      </c>
      <c r="EI20" s="3"/>
      <c r="EJ20" s="1" t="s">
        <v>18</v>
      </c>
      <c r="EK20" s="13">
        <v>1</v>
      </c>
      <c r="EL20" s="3"/>
      <c r="EM20" s="1" t="s">
        <v>18</v>
      </c>
      <c r="EN20" s="22">
        <v>1</v>
      </c>
      <c r="EO20" s="3"/>
      <c r="EP20" s="1" t="s">
        <v>18</v>
      </c>
      <c r="EQ20" s="22">
        <v>1</v>
      </c>
      <c r="ER20" s="3"/>
      <c r="ES20" s="1" t="s">
        <v>18</v>
      </c>
      <c r="ET20" s="20">
        <v>1</v>
      </c>
      <c r="EU20" s="3">
        <v>1</v>
      </c>
      <c r="EV20" s="1" t="s">
        <v>18</v>
      </c>
      <c r="EW20" s="13">
        <v>0.96666666666666701</v>
      </c>
      <c r="EX20" s="3"/>
      <c r="EZ20" s="1" t="s">
        <v>18</v>
      </c>
      <c r="FA20" s="13">
        <v>1</v>
      </c>
      <c r="FB20" s="3"/>
      <c r="FC20" s="1" t="s">
        <v>18</v>
      </c>
      <c r="FD20" s="22">
        <v>1</v>
      </c>
      <c r="FE20" s="3"/>
      <c r="FF20" s="1" t="s">
        <v>18</v>
      </c>
      <c r="FG20" s="23">
        <v>1</v>
      </c>
      <c r="FH20" s="4"/>
      <c r="FI20" s="1" t="s">
        <v>18</v>
      </c>
      <c r="FJ20" s="13">
        <v>1</v>
      </c>
      <c r="FK20" s="4"/>
      <c r="FL20" s="1" t="s">
        <v>18</v>
      </c>
      <c r="FM20" s="23">
        <v>1</v>
      </c>
      <c r="FN20" s="4"/>
      <c r="FO20" s="1" t="s">
        <v>18</v>
      </c>
      <c r="FP20" s="23">
        <v>1</v>
      </c>
      <c r="FQ20" s="4"/>
      <c r="FR20" s="1" t="s">
        <v>18</v>
      </c>
      <c r="FS20" s="22">
        <v>1</v>
      </c>
      <c r="FT20" s="4"/>
      <c r="FU20" s="1" t="s">
        <v>18</v>
      </c>
      <c r="FV20" s="23">
        <v>1</v>
      </c>
      <c r="FW20" s="4"/>
      <c r="FX20" s="1" t="s">
        <v>18</v>
      </c>
      <c r="FY20" s="23">
        <v>0.99722222222222201</v>
      </c>
      <c r="FZ20" s="4"/>
      <c r="GA20" s="1" t="s">
        <v>18</v>
      </c>
      <c r="GB20" s="23">
        <v>0.94444444444444398</v>
      </c>
      <c r="GC20" s="4"/>
      <c r="GE20" s="1" t="s">
        <v>18</v>
      </c>
      <c r="GF20" s="23">
        <v>0.99722222222222201</v>
      </c>
      <c r="GG20" s="4"/>
      <c r="GH20" s="1" t="s">
        <v>18</v>
      </c>
      <c r="GI20" s="23">
        <v>0.99722222222222201</v>
      </c>
      <c r="GJ20" s="4"/>
      <c r="GL20" s="1" t="s">
        <v>18</v>
      </c>
      <c r="GM20" s="23">
        <v>0.99166666666666703</v>
      </c>
      <c r="GN20" s="4"/>
      <c r="GO20" s="1" t="s">
        <v>18</v>
      </c>
      <c r="GP20" s="23">
        <v>0.99722222222222201</v>
      </c>
      <c r="GQ20" s="4"/>
    </row>
    <row r="21" spans="1:199" ht="15" thickBot="1" x14ac:dyDescent="0.35">
      <c r="A21" s="19">
        <v>213</v>
      </c>
      <c r="B21" s="1" t="s">
        <v>19</v>
      </c>
      <c r="C21" s="13">
        <v>0.92166666666666697</v>
      </c>
      <c r="E21" s="1" t="s">
        <v>19</v>
      </c>
      <c r="F21" s="13">
        <v>0.99541666666666695</v>
      </c>
      <c r="H21" s="1" t="s">
        <v>19</v>
      </c>
      <c r="I21" s="23">
        <v>0.99791666666666701</v>
      </c>
      <c r="L21" s="1" t="s">
        <v>19</v>
      </c>
      <c r="M21" s="13">
        <v>0.98375000000000001</v>
      </c>
      <c r="N21" s="3"/>
      <c r="P21" s="1" t="s">
        <v>19</v>
      </c>
      <c r="Q21" s="13">
        <v>0.97499999999999998</v>
      </c>
      <c r="T21" s="1" t="s">
        <v>19</v>
      </c>
      <c r="U21" s="13">
        <v>0.94291666666666696</v>
      </c>
      <c r="X21" s="1" t="s">
        <v>19</v>
      </c>
      <c r="Y21" s="13">
        <v>0.94291666666666696</v>
      </c>
      <c r="AB21" s="1" t="s">
        <v>19</v>
      </c>
      <c r="AC21" s="13">
        <v>0.90708333333333302</v>
      </c>
      <c r="AD21" s="3"/>
      <c r="AE21" s="1" t="s">
        <v>19</v>
      </c>
      <c r="AF21" s="13">
        <v>0.90458333333333296</v>
      </c>
      <c r="AH21" s="3"/>
      <c r="AI21" s="1" t="s">
        <v>19</v>
      </c>
      <c r="AJ21" s="13">
        <v>0.90458333333333296</v>
      </c>
      <c r="AM21" s="1" t="s">
        <v>19</v>
      </c>
      <c r="AN21" s="13">
        <v>0.90458333333333296</v>
      </c>
      <c r="AQ21" s="1" t="s">
        <v>19</v>
      </c>
      <c r="AR21" s="13">
        <v>0.89958333333333296</v>
      </c>
      <c r="AU21" s="1" t="s">
        <v>19</v>
      </c>
      <c r="AV21" s="13">
        <v>0.90791666666666704</v>
      </c>
      <c r="AX21" s="1" t="s">
        <v>19</v>
      </c>
      <c r="AY21" s="13">
        <v>0.89583333333333304</v>
      </c>
      <c r="BA21" s="1" t="s">
        <v>19</v>
      </c>
      <c r="BB21" s="13">
        <v>0.91958333333333298</v>
      </c>
      <c r="BD21" s="1" t="s">
        <v>19</v>
      </c>
      <c r="BE21" s="13">
        <v>0.92708333333333304</v>
      </c>
      <c r="BG21" s="1" t="s">
        <v>19</v>
      </c>
      <c r="BH21" s="13">
        <v>0.92708333333333304</v>
      </c>
      <c r="BJ21" s="1" t="s">
        <v>19</v>
      </c>
      <c r="BK21" s="13">
        <v>0.92458333333333298</v>
      </c>
      <c r="BM21" s="1" t="s">
        <v>19</v>
      </c>
      <c r="BN21" s="13">
        <v>0.918333333333333</v>
      </c>
      <c r="BP21" s="1" t="s">
        <v>19</v>
      </c>
      <c r="BQ21" s="13">
        <v>0.92</v>
      </c>
      <c r="BR21" s="3"/>
      <c r="BS21" s="1" t="s">
        <v>19</v>
      </c>
      <c r="BT21" s="13">
        <v>0.92833333333333301</v>
      </c>
      <c r="BV21" s="1" t="s">
        <v>19</v>
      </c>
      <c r="BW21" s="13">
        <v>0.93291666666666695</v>
      </c>
      <c r="BY21" s="1" t="s">
        <v>19</v>
      </c>
      <c r="BZ21" s="13">
        <v>0.93208333333333304</v>
      </c>
      <c r="CB21" s="1" t="s">
        <v>19</v>
      </c>
      <c r="CC21" s="13">
        <v>0.91125</v>
      </c>
      <c r="CE21" s="1" t="s">
        <v>19</v>
      </c>
      <c r="CF21" s="13">
        <v>0.97750000000000004</v>
      </c>
      <c r="CH21" s="1" t="s">
        <v>19</v>
      </c>
      <c r="CI21" s="13">
        <v>0.98875000000000002</v>
      </c>
      <c r="CK21" s="1" t="s">
        <v>19</v>
      </c>
      <c r="CL21" s="13">
        <v>0.99083333333333301</v>
      </c>
      <c r="CN21" s="1" t="s">
        <v>19</v>
      </c>
      <c r="CO21" s="13">
        <v>0.99124999999999996</v>
      </c>
      <c r="CQ21" s="1" t="s">
        <v>19</v>
      </c>
      <c r="CR21" s="13">
        <v>0.99583333333333302</v>
      </c>
      <c r="CT21" s="1" t="s">
        <v>19</v>
      </c>
      <c r="CU21" s="13">
        <v>0.99624999999999997</v>
      </c>
      <c r="CV21" s="3"/>
      <c r="CW21" s="1" t="s">
        <v>19</v>
      </c>
      <c r="CX21" s="22">
        <v>0.99333333333333296</v>
      </c>
      <c r="CY21" s="3"/>
      <c r="CZ21" s="1" t="s">
        <v>19</v>
      </c>
      <c r="DA21" s="22">
        <v>0.99333333333333296</v>
      </c>
      <c r="DB21" s="3"/>
      <c r="DC21" s="1" t="s">
        <v>19</v>
      </c>
      <c r="DD21" s="13">
        <v>0.98916666666666697</v>
      </c>
      <c r="DE21" s="3"/>
      <c r="DG21" s="1" t="s">
        <v>19</v>
      </c>
      <c r="DH21" s="13">
        <v>0.98666666666666702</v>
      </c>
      <c r="DI21" s="3"/>
      <c r="DK21" s="1" t="s">
        <v>19</v>
      </c>
      <c r="DL21" s="13">
        <v>0.99624999999999997</v>
      </c>
      <c r="DM21" s="3"/>
      <c r="DO21" s="1" t="s">
        <v>19</v>
      </c>
      <c r="DP21" s="13">
        <v>0.99375000000000002</v>
      </c>
      <c r="DQ21" s="3"/>
      <c r="DR21" s="1" t="s">
        <v>19</v>
      </c>
      <c r="DS21" s="22">
        <v>0.99541666666666695</v>
      </c>
      <c r="DU21" s="1" t="s">
        <v>19</v>
      </c>
      <c r="DV21" s="22">
        <v>0.99666666666666703</v>
      </c>
      <c r="DX21" s="1" t="s">
        <v>19</v>
      </c>
      <c r="DY21" s="22">
        <v>0.99708333333333299</v>
      </c>
      <c r="DZ21" s="3"/>
      <c r="EA21" s="1" t="s">
        <v>19</v>
      </c>
      <c r="EB21" s="22">
        <v>0.99708333333333299</v>
      </c>
      <c r="EC21" s="3"/>
      <c r="ED21" s="1" t="s">
        <v>19</v>
      </c>
      <c r="EE21" s="22">
        <v>0.99708333333333299</v>
      </c>
      <c r="EF21" s="3"/>
      <c r="EG21" s="1" t="s">
        <v>19</v>
      </c>
      <c r="EH21" s="13">
        <v>0.97833333333333306</v>
      </c>
      <c r="EI21" s="3"/>
      <c r="EJ21" s="1" t="s">
        <v>19</v>
      </c>
      <c r="EK21" s="13">
        <v>0.99250000000000005</v>
      </c>
      <c r="EL21" s="3"/>
      <c r="EM21" s="1" t="s">
        <v>19</v>
      </c>
      <c r="EN21" s="22">
        <v>0.99750000000000005</v>
      </c>
      <c r="EO21" s="3"/>
      <c r="EP21" s="1" t="s">
        <v>19</v>
      </c>
      <c r="EQ21" s="22">
        <v>0.99624999999999997</v>
      </c>
      <c r="ER21" s="3"/>
      <c r="ES21" s="1" t="s">
        <v>19</v>
      </c>
      <c r="ET21" s="20">
        <v>0.98875000000000002</v>
      </c>
      <c r="EU21" s="3">
        <v>0.992916666666667</v>
      </c>
      <c r="EV21" s="1" t="s">
        <v>19</v>
      </c>
      <c r="EW21" s="13">
        <v>0.99208333333333298</v>
      </c>
      <c r="EX21" s="3"/>
      <c r="EZ21" s="1" t="s">
        <v>19</v>
      </c>
      <c r="FA21" s="13">
        <v>0.99875000000000003</v>
      </c>
      <c r="FB21" s="3"/>
      <c r="FC21" s="1" t="s">
        <v>19</v>
      </c>
      <c r="FD21" s="22">
        <v>0.99916666666666698</v>
      </c>
      <c r="FE21" s="3"/>
      <c r="FF21" s="1" t="s">
        <v>19</v>
      </c>
      <c r="FG21" s="23">
        <v>0.99916666666666698</v>
      </c>
      <c r="FH21" s="4"/>
      <c r="FI21" s="1" t="s">
        <v>19</v>
      </c>
      <c r="FJ21" s="13">
        <v>0.99916666666666698</v>
      </c>
      <c r="FK21" s="4"/>
      <c r="FL21" s="1" t="s">
        <v>19</v>
      </c>
      <c r="FM21" s="23">
        <v>0.99916666666666698</v>
      </c>
      <c r="FN21" s="4"/>
      <c r="FO21" s="1" t="s">
        <v>19</v>
      </c>
      <c r="FP21" s="23">
        <v>0.99958333333333305</v>
      </c>
      <c r="FQ21" s="4"/>
      <c r="FR21" s="1" t="s">
        <v>19</v>
      </c>
      <c r="FS21" s="22">
        <v>0.99958333333333305</v>
      </c>
      <c r="FT21" s="4"/>
      <c r="FU21" s="1" t="s">
        <v>19</v>
      </c>
      <c r="FV21" s="23">
        <v>0.99624999999999997</v>
      </c>
      <c r="FW21" s="4"/>
      <c r="FX21" s="1" t="s">
        <v>19</v>
      </c>
      <c r="FY21" s="23">
        <v>0.99708333333333299</v>
      </c>
      <c r="FZ21" s="4"/>
      <c r="GA21" s="1" t="s">
        <v>19</v>
      </c>
      <c r="GB21" s="23">
        <v>0.94416666666666704</v>
      </c>
      <c r="GC21" s="4"/>
      <c r="GE21" s="1" t="s">
        <v>19</v>
      </c>
      <c r="GF21" s="23">
        <v>0.99916666666666698</v>
      </c>
      <c r="GG21" s="4"/>
      <c r="GH21" s="1" t="s">
        <v>19</v>
      </c>
      <c r="GI21" s="23">
        <v>0.99916666666666698</v>
      </c>
      <c r="GJ21" s="4"/>
      <c r="GL21" s="1" t="s">
        <v>19</v>
      </c>
      <c r="GM21" s="23">
        <v>0.99666666666666703</v>
      </c>
      <c r="GN21" s="4"/>
      <c r="GO21" s="1" t="s">
        <v>19</v>
      </c>
      <c r="GP21" s="23">
        <v>0.99708333333333299</v>
      </c>
      <c r="GQ21" s="4"/>
    </row>
    <row r="22" spans="1:199" ht="15" thickBot="1" x14ac:dyDescent="0.35">
      <c r="A22" s="19">
        <v>240</v>
      </c>
      <c r="B22" s="1" t="s">
        <v>20</v>
      </c>
      <c r="C22" s="13">
        <v>0.95141806722689104</v>
      </c>
      <c r="E22" s="1" t="s">
        <v>20</v>
      </c>
      <c r="F22" s="13">
        <v>0.936449579831933</v>
      </c>
      <c r="H22" s="1" t="s">
        <v>20</v>
      </c>
      <c r="I22" s="23">
        <v>0.94380252100840301</v>
      </c>
      <c r="L22" s="1" t="s">
        <v>20</v>
      </c>
      <c r="M22" s="13">
        <v>0.94091386554621903</v>
      </c>
      <c r="N22" s="3"/>
      <c r="P22" s="1" t="s">
        <v>20</v>
      </c>
      <c r="Q22" s="13">
        <v>0.92673319327731096</v>
      </c>
      <c r="T22" s="1" t="s">
        <v>20</v>
      </c>
      <c r="U22" s="13">
        <v>0.86370798319327702</v>
      </c>
      <c r="X22" s="1" t="s">
        <v>20</v>
      </c>
      <c r="Y22" s="13">
        <v>0.91097689075630295</v>
      </c>
      <c r="AB22" s="1" t="s">
        <v>20</v>
      </c>
      <c r="AC22" s="13">
        <v>0.89889705882352899</v>
      </c>
      <c r="AD22" s="3"/>
      <c r="AE22" s="1" t="s">
        <v>20</v>
      </c>
      <c r="AF22" s="13">
        <v>0.82956932773109304</v>
      </c>
      <c r="AH22" s="3"/>
      <c r="AI22" s="1" t="s">
        <v>20</v>
      </c>
      <c r="AJ22" s="13">
        <v>0.88209033613445398</v>
      </c>
      <c r="AM22" s="1" t="s">
        <v>20</v>
      </c>
      <c r="AN22" s="13">
        <v>0.82956932773109304</v>
      </c>
      <c r="AQ22" s="1" t="s">
        <v>20</v>
      </c>
      <c r="AR22" s="13">
        <v>0.80987394957983205</v>
      </c>
      <c r="AU22" s="1" t="s">
        <v>20</v>
      </c>
      <c r="AV22" s="13">
        <v>0.82615546218487401</v>
      </c>
      <c r="AX22" s="1" t="s">
        <v>20</v>
      </c>
      <c r="AY22" s="13">
        <v>0.86712184873949605</v>
      </c>
      <c r="BA22" s="1" t="s">
        <v>20</v>
      </c>
      <c r="BB22" s="13">
        <v>0.83613445378151297</v>
      </c>
      <c r="BD22" s="1" t="s">
        <v>20</v>
      </c>
      <c r="BE22" s="13">
        <v>0.84375</v>
      </c>
      <c r="BG22" s="1" t="s">
        <v>20</v>
      </c>
      <c r="BH22" s="13">
        <v>0.85215336134453801</v>
      </c>
      <c r="BJ22" s="1" t="s">
        <v>20</v>
      </c>
      <c r="BK22" s="13">
        <v>0.84742647058823495</v>
      </c>
      <c r="BM22" s="1" t="s">
        <v>20</v>
      </c>
      <c r="BN22" s="13">
        <v>0.85898109243697496</v>
      </c>
      <c r="BP22" s="1" t="s">
        <v>20</v>
      </c>
      <c r="BQ22" s="13">
        <v>0.85189075630252098</v>
      </c>
      <c r="BR22" s="3"/>
      <c r="BS22" s="1" t="s">
        <v>20</v>
      </c>
      <c r="BT22" s="13">
        <v>0.87473739495798297</v>
      </c>
      <c r="BV22" s="1" t="s">
        <v>20</v>
      </c>
      <c r="BW22" s="13">
        <v>0.88130252100840301</v>
      </c>
      <c r="BY22" s="1" t="s">
        <v>20</v>
      </c>
      <c r="BZ22" s="13">
        <v>0.88602941176470595</v>
      </c>
      <c r="CB22" s="1" t="s">
        <v>20</v>
      </c>
      <c r="CC22" s="13">
        <v>0.88130252100840301</v>
      </c>
      <c r="CE22" s="1" t="s">
        <v>20</v>
      </c>
      <c r="CF22" s="13">
        <v>0.89732142857142905</v>
      </c>
      <c r="CH22" s="1" t="s">
        <v>20</v>
      </c>
      <c r="CI22" s="13">
        <v>0.87788865546218497</v>
      </c>
      <c r="CK22" s="1" t="s">
        <v>20</v>
      </c>
      <c r="CL22" s="13">
        <v>0.871848739495798</v>
      </c>
      <c r="CN22" s="1" t="s">
        <v>20</v>
      </c>
      <c r="CO22" s="13">
        <v>0.86712184873949605</v>
      </c>
      <c r="CQ22" s="1" t="s">
        <v>20</v>
      </c>
      <c r="CR22" s="13">
        <v>0.87342436974789905</v>
      </c>
      <c r="CT22" s="1" t="s">
        <v>20</v>
      </c>
      <c r="CU22" s="13">
        <v>0.91911764705882404</v>
      </c>
      <c r="CV22" s="3"/>
      <c r="CW22" s="1" t="s">
        <v>20</v>
      </c>
      <c r="CX22" s="22">
        <v>0.91386554621848703</v>
      </c>
      <c r="CY22" s="3"/>
      <c r="CZ22" s="1" t="s">
        <v>20</v>
      </c>
      <c r="DA22" s="22">
        <v>0.941701680672269</v>
      </c>
      <c r="DB22" s="3"/>
      <c r="DC22" s="1" t="s">
        <v>20</v>
      </c>
      <c r="DD22" s="13">
        <v>0.95220588235294101</v>
      </c>
      <c r="DE22" s="3"/>
      <c r="DG22" s="1" t="s">
        <v>20</v>
      </c>
      <c r="DH22" s="13">
        <v>0.92436974789916004</v>
      </c>
      <c r="DI22" s="3"/>
      <c r="DK22" s="1" t="s">
        <v>20</v>
      </c>
      <c r="DL22" s="13">
        <v>0.91334033613445398</v>
      </c>
      <c r="DM22" s="3"/>
      <c r="DO22" s="1" t="s">
        <v>20</v>
      </c>
      <c r="DP22" s="13">
        <v>0.91832983193277296</v>
      </c>
      <c r="DQ22" s="3"/>
      <c r="DR22" s="1" t="s">
        <v>20</v>
      </c>
      <c r="DS22" s="22">
        <v>0.92279411764705899</v>
      </c>
      <c r="DU22" s="1" t="s">
        <v>20</v>
      </c>
      <c r="DV22" s="22">
        <v>0.92988445378151297</v>
      </c>
      <c r="DX22" s="1" t="s">
        <v>20</v>
      </c>
      <c r="DY22" s="22">
        <v>0.93067226890756305</v>
      </c>
      <c r="DZ22" s="3"/>
      <c r="EA22" s="1" t="s">
        <v>20</v>
      </c>
      <c r="EB22" s="22">
        <v>0.92699579831932799</v>
      </c>
      <c r="EC22" s="3"/>
      <c r="ED22" s="1" t="s">
        <v>20</v>
      </c>
      <c r="EE22" s="22">
        <v>0.96218487394957997</v>
      </c>
      <c r="EF22" s="3"/>
      <c r="EG22" s="1" t="s">
        <v>20</v>
      </c>
      <c r="EH22" s="13">
        <v>0.938550420168067</v>
      </c>
      <c r="EI22" s="3"/>
      <c r="EJ22" s="1" t="s">
        <v>20</v>
      </c>
      <c r="EK22" s="13">
        <v>0.940651260504202</v>
      </c>
      <c r="EL22" s="3"/>
      <c r="EM22" s="1" t="s">
        <v>20</v>
      </c>
      <c r="EN22" s="22">
        <v>0.94984243697478998</v>
      </c>
      <c r="EO22" s="3"/>
      <c r="EP22" s="1" t="s">
        <v>20</v>
      </c>
      <c r="EQ22" s="22">
        <v>0.95719537815126099</v>
      </c>
      <c r="ER22" s="3"/>
      <c r="ES22" s="1" t="s">
        <v>20</v>
      </c>
      <c r="ET22" s="20">
        <v>0.96113445378151297</v>
      </c>
      <c r="EU22" s="3">
        <v>0.92725840336134502</v>
      </c>
      <c r="EV22" s="1" t="s">
        <v>20</v>
      </c>
      <c r="EW22" s="13">
        <v>0.89417016806722704</v>
      </c>
      <c r="EX22" s="3"/>
      <c r="EZ22" s="1" t="s">
        <v>20</v>
      </c>
      <c r="FA22" s="13">
        <v>0.94590336134453801</v>
      </c>
      <c r="FB22" s="3"/>
      <c r="FC22" s="1" t="s">
        <v>20</v>
      </c>
      <c r="FD22" s="22">
        <v>0.95850840336134502</v>
      </c>
      <c r="FE22" s="3"/>
      <c r="FF22" s="1" t="s">
        <v>20</v>
      </c>
      <c r="FG22" s="23">
        <v>0.95693277310924396</v>
      </c>
      <c r="FH22" s="4"/>
      <c r="FI22" s="1" t="s">
        <v>20</v>
      </c>
      <c r="FJ22" s="13">
        <v>0.95483193277310896</v>
      </c>
      <c r="FK22" s="4"/>
      <c r="FL22" s="1" t="s">
        <v>20</v>
      </c>
      <c r="FM22" s="23">
        <v>0.95824579831932799</v>
      </c>
      <c r="FN22" s="4"/>
      <c r="FO22" s="1" t="s">
        <v>20</v>
      </c>
      <c r="FP22" s="23">
        <v>0.95667016806722704</v>
      </c>
      <c r="FQ22" s="4"/>
      <c r="FR22" s="1" t="s">
        <v>20</v>
      </c>
      <c r="FS22" s="22">
        <v>0.95640756302521002</v>
      </c>
      <c r="FT22" s="4"/>
      <c r="FU22" s="1" t="s">
        <v>20</v>
      </c>
      <c r="FV22" s="23">
        <v>0.95141806722689104</v>
      </c>
      <c r="FW22" s="4"/>
      <c r="FX22" s="1" t="s">
        <v>20</v>
      </c>
      <c r="FY22" s="23">
        <v>0.97058823529411797</v>
      </c>
      <c r="FZ22" s="4"/>
      <c r="GA22" s="1" t="s">
        <v>20</v>
      </c>
      <c r="GB22" s="23">
        <v>0.95351890756302504</v>
      </c>
      <c r="GC22" s="4"/>
      <c r="GE22" s="1" t="s">
        <v>20</v>
      </c>
      <c r="GF22" s="23">
        <v>0.94879201680672298</v>
      </c>
      <c r="GG22" s="4"/>
      <c r="GH22" s="1" t="s">
        <v>20</v>
      </c>
      <c r="GI22" s="23">
        <v>0.94879201680672298</v>
      </c>
      <c r="GJ22" s="4"/>
      <c r="GL22" s="1" t="s">
        <v>20</v>
      </c>
      <c r="GM22" s="23">
        <v>0.95824579831932799</v>
      </c>
      <c r="GN22" s="4"/>
      <c r="GO22" s="1" t="s">
        <v>20</v>
      </c>
      <c r="GP22" s="23">
        <v>0.94879201680672298</v>
      </c>
      <c r="GQ22" s="4"/>
    </row>
    <row r="23" spans="1:199" x14ac:dyDescent="0.3">
      <c r="B23" s="1" t="s">
        <v>21</v>
      </c>
      <c r="C23" s="2">
        <f>AVERAGE(C8:C22)</f>
        <v>0.87501065129003708</v>
      </c>
      <c r="E23" s="1" t="s">
        <v>21</v>
      </c>
      <c r="F23" s="2">
        <f>AVERAGE(F8:F22)</f>
        <v>0.94388813225133805</v>
      </c>
      <c r="H23" s="1" t="s">
        <v>21</v>
      </c>
      <c r="I23" s="25">
        <f>AVERAGE(I8:I22)</f>
        <v>0.97327954362350255</v>
      </c>
      <c r="L23" s="1" t="s">
        <v>21</v>
      </c>
      <c r="M23" s="2">
        <f>AVERAGE(M8:M22)</f>
        <v>0.91373347960802165</v>
      </c>
      <c r="N23" s="4"/>
      <c r="P23" s="1" t="s">
        <v>21</v>
      </c>
      <c r="Q23" s="2">
        <f>AVERAGE(Q8:Q22)</f>
        <v>0.9090056332034897</v>
      </c>
      <c r="T23" s="1" t="s">
        <v>21</v>
      </c>
      <c r="U23" s="2">
        <f>AVERAGE(U8:U22)</f>
        <v>0.91695364788494549</v>
      </c>
      <c r="X23" s="1" t="s">
        <v>21</v>
      </c>
      <c r="Y23" s="2">
        <f>AVERAGE(Y8:Y22)</f>
        <v>0.91779582475055932</v>
      </c>
      <c r="AB23" s="1" t="s">
        <v>21</v>
      </c>
      <c r="AC23" s="2">
        <f>AVERAGE(AC8:AC22)</f>
        <v>0.86855323277545271</v>
      </c>
      <c r="AD23" s="4"/>
      <c r="AE23" s="1" t="s">
        <v>21</v>
      </c>
      <c r="AF23" s="2">
        <f>AVERAGE(AF8:AF22)</f>
        <v>0.86901422307772347</v>
      </c>
      <c r="AH23" s="4"/>
      <c r="AI23" s="1" t="s">
        <v>21</v>
      </c>
      <c r="AJ23" s="2">
        <f>AVERAGE(AJ8:AJ22)</f>
        <v>0.87597767421740902</v>
      </c>
      <c r="AM23" s="1" t="s">
        <v>21</v>
      </c>
      <c r="AN23" s="2">
        <f>AVERAGE(AN8:AN22)</f>
        <v>0.86901422307772347</v>
      </c>
      <c r="AQ23" s="1" t="s">
        <v>21</v>
      </c>
      <c r="AR23" s="2">
        <f>AVERAGE(AR8:AR22)</f>
        <v>0.86330275826889891</v>
      </c>
      <c r="AU23" s="1" t="s">
        <v>21</v>
      </c>
      <c r="AV23" s="2">
        <f>AVERAGE(AV8:AV22)</f>
        <v>0.87870378624666945</v>
      </c>
      <c r="AX23" s="1" t="s">
        <v>21</v>
      </c>
      <c r="AY23" s="2">
        <f>AVERAGE(AY8:AY22)</f>
        <v>0.86408907511594713</v>
      </c>
      <c r="BA23" s="1" t="s">
        <v>21</v>
      </c>
      <c r="BB23" s="2">
        <f>AVERAGE(BB8:BB22)</f>
        <v>0.89200648202529542</v>
      </c>
      <c r="BD23" s="1" t="s">
        <v>21</v>
      </c>
      <c r="BE23" s="2">
        <f>AVERAGE(BE8:BE22)</f>
        <v>0.90090594353704367</v>
      </c>
      <c r="BG23" s="1" t="s">
        <v>21</v>
      </c>
      <c r="BH23" s="2">
        <f>AVERAGE(BH8:BH22)</f>
        <v>0.90587011713307442</v>
      </c>
      <c r="BJ23" s="1" t="s">
        <v>21</v>
      </c>
      <c r="BK23" s="2">
        <f>AVERAGE(BK8:BK22)</f>
        <v>0.9100694868136554</v>
      </c>
      <c r="BM23" s="1" t="s">
        <v>21</v>
      </c>
      <c r="BN23" s="2">
        <f>AVERAGE(BN8:BN22)</f>
        <v>0.90889555636438002</v>
      </c>
      <c r="BP23" s="1" t="s">
        <v>21</v>
      </c>
      <c r="BQ23" s="2">
        <f>AVERAGE(BQ8:BQ22)</f>
        <v>0.9113917953400833</v>
      </c>
      <c r="BS23" s="1" t="s">
        <v>21</v>
      </c>
      <c r="BT23" s="2">
        <f>AVERAGE(BT8:BT22)</f>
        <v>0.9177530381459128</v>
      </c>
      <c r="BV23" s="1" t="s">
        <v>21</v>
      </c>
      <c r="BW23" s="2">
        <f>AVERAGE(BW8:BW22)</f>
        <v>0.91456819683630797</v>
      </c>
      <c r="BY23" s="1" t="s">
        <v>21</v>
      </c>
      <c r="BZ23" s="2">
        <f>AVERAGE(BZ8:BZ22)</f>
        <v>0.90680422731786581</v>
      </c>
      <c r="CB23" s="1" t="s">
        <v>21</v>
      </c>
      <c r="CC23" s="2">
        <f>AVERAGE(CC8:CC22)</f>
        <v>0.89611889928715427</v>
      </c>
      <c r="CE23" s="1" t="s">
        <v>21</v>
      </c>
      <c r="CF23" s="2">
        <f>AVERAGE(CF8:CF22)</f>
        <v>0.93479062001841851</v>
      </c>
      <c r="CH23" s="1" t="s">
        <v>21</v>
      </c>
      <c r="CI23" s="2">
        <f>AVERAGE(CI8:CI22)</f>
        <v>0.95137284857443627</v>
      </c>
      <c r="CK23" s="1" t="s">
        <v>21</v>
      </c>
      <c r="CL23" s="2">
        <f>AVERAGE(CL8:CL22)</f>
        <v>0.95101437506250908</v>
      </c>
      <c r="CN23" s="1" t="s">
        <v>21</v>
      </c>
      <c r="CO23" s="2">
        <f>AVERAGE(CO8:CO22)</f>
        <v>0.94862960524092521</v>
      </c>
      <c r="CQ23" s="1" t="s">
        <v>21</v>
      </c>
      <c r="CR23" s="2">
        <f>AVERAGE(CR8:CR22)</f>
        <v>0.94414310147126634</v>
      </c>
      <c r="CT23" s="1" t="s">
        <v>21</v>
      </c>
      <c r="CU23" s="2">
        <f>AVERAGE(CU8:CU22)</f>
        <v>0.97150548122111424</v>
      </c>
      <c r="CV23" s="4"/>
      <c r="CW23" s="1" t="s">
        <v>21</v>
      </c>
      <c r="CX23" s="2">
        <f>AVERAGE(CX8:CX22)</f>
        <v>0.96617742128746531</v>
      </c>
      <c r="CY23" s="4"/>
      <c r="CZ23" s="1" t="s">
        <v>21</v>
      </c>
      <c r="DA23" s="2">
        <f>AVERAGE(DA8:DA22)</f>
        <v>0.97406028703914926</v>
      </c>
      <c r="DB23" s="4"/>
      <c r="DC23" s="1" t="s">
        <v>21</v>
      </c>
      <c r="DD23" s="2">
        <f>AVERAGE(DD8:DD22)</f>
        <v>0.97264057432628848</v>
      </c>
      <c r="DE23" s="4"/>
      <c r="DG23" s="1" t="s">
        <v>21</v>
      </c>
      <c r="DH23" s="2">
        <f>AVERAGE(DH8:DH22)</f>
        <v>0.96288852584467999</v>
      </c>
      <c r="DI23" s="4"/>
      <c r="DK23" s="1" t="s">
        <v>21</v>
      </c>
      <c r="DL23" s="2">
        <f>AVERAGE(DL8:DL22)</f>
        <v>0.96854017445860707</v>
      </c>
      <c r="DM23" s="4"/>
      <c r="DO23" s="1" t="s">
        <v>21</v>
      </c>
      <c r="DP23" s="2">
        <f>AVERAGE(DP8:DP22)</f>
        <v>0.97457424172238905</v>
      </c>
      <c r="DQ23" s="4"/>
      <c r="DR23" s="1" t="s">
        <v>21</v>
      </c>
      <c r="DS23" s="2">
        <f>AVERAGE(DS8:DS22)</f>
        <v>0.97632661022146305</v>
      </c>
      <c r="DU23" s="1" t="s">
        <v>21</v>
      </c>
      <c r="DV23" s="2">
        <f>AVERAGE(DV8:DV22)</f>
        <v>0.97846963356181915</v>
      </c>
      <c r="DX23" s="1" t="s">
        <v>21</v>
      </c>
      <c r="DY23" s="2">
        <f>AVERAGE(DY8:DY22)</f>
        <v>0.97824205288479615</v>
      </c>
      <c r="DZ23" s="4"/>
      <c r="EA23" s="1" t="s">
        <v>21</v>
      </c>
      <c r="EB23" s="2">
        <f>AVERAGE(EB8:EB22)</f>
        <v>0.95181285138067961</v>
      </c>
      <c r="EC23" s="4"/>
      <c r="ED23" s="1" t="s">
        <v>21</v>
      </c>
      <c r="EE23" s="2">
        <f>AVERAGE(EE8:EE22)</f>
        <v>0.97371237086125006</v>
      </c>
      <c r="EF23" s="4"/>
      <c r="EG23" s="1" t="s">
        <v>21</v>
      </c>
      <c r="EH23" s="2">
        <f>AVERAGE(EH8:EH22)</f>
        <v>0.94674130891115071</v>
      </c>
      <c r="EI23" s="4"/>
      <c r="EJ23" s="1" t="s">
        <v>21</v>
      </c>
      <c r="EK23" s="2">
        <f>AVERAGE(EK8:EK22)</f>
        <v>0.96117242327800778</v>
      </c>
      <c r="EL23" s="4"/>
      <c r="EM23" s="1" t="s">
        <v>21</v>
      </c>
      <c r="EN23" s="2">
        <f>AVERAGE(EN8:EN22)</f>
        <v>0.96509696908198606</v>
      </c>
      <c r="EO23" s="4"/>
      <c r="EP23" s="1" t="s">
        <v>21</v>
      </c>
      <c r="EQ23" s="2">
        <f>AVERAGE(EQ8:EQ22)</f>
        <v>0.96518132200296469</v>
      </c>
      <c r="ER23" s="4"/>
      <c r="ES23" s="1" t="s">
        <v>21</v>
      </c>
      <c r="ET23" s="2">
        <f>AVERAGE(ET8:ET22)</f>
        <v>0.94226577202871986</v>
      </c>
      <c r="EU23" s="2">
        <f>AVERAGE(EU8:EU22)</f>
        <v>0.94298475201582455</v>
      </c>
      <c r="EV23" s="1" t="s">
        <v>21</v>
      </c>
      <c r="EW23" s="2">
        <f>AVERAGE(EW8:EW22)</f>
        <v>0.95421847405513593</v>
      </c>
      <c r="EX23" s="4"/>
      <c r="EZ23" s="1" t="s">
        <v>21</v>
      </c>
      <c r="FA23" s="2">
        <f>AVERAGE(FA8:FA22)</f>
        <v>0.97467833643816471</v>
      </c>
      <c r="FB23" s="4"/>
      <c r="FC23" s="1" t="s">
        <v>21</v>
      </c>
      <c r="FD23" s="2">
        <f>AVERAGE(FD8:FD22)</f>
        <v>0.9777289392431382</v>
      </c>
      <c r="FE23" s="4"/>
      <c r="FF23" s="1" t="s">
        <v>21</v>
      </c>
      <c r="FG23" s="2">
        <f>AVERAGE(FG8:FG22)</f>
        <v>0.97716070361478347</v>
      </c>
      <c r="FH23" s="4"/>
      <c r="FI23" s="1" t="s">
        <v>21</v>
      </c>
      <c r="FJ23" s="2">
        <f>AVERAGE(FJ8:FJ22)</f>
        <v>0.97766651347057099</v>
      </c>
      <c r="FK23" s="4"/>
      <c r="FL23" s="1" t="s">
        <v>21</v>
      </c>
      <c r="FM23" s="2">
        <f>AVERAGE(FM8:FM22)</f>
        <v>0.9805799384626066</v>
      </c>
      <c r="FN23" s="4"/>
      <c r="FO23" s="1" t="s">
        <v>21</v>
      </c>
      <c r="FP23" s="24">
        <f>AVERAGE(FP8:FP22)</f>
        <v>0.98240315875984996</v>
      </c>
      <c r="FQ23" s="4"/>
      <c r="FR23" s="1" t="s">
        <v>21</v>
      </c>
      <c r="FS23" s="24">
        <f>AVERAGE(FS8:FS22)</f>
        <v>0.97995644618409938</v>
      </c>
      <c r="FT23" s="4"/>
      <c r="FU23" s="1" t="s">
        <v>21</v>
      </c>
      <c r="FV23" s="24">
        <f>AVERAGE(FV8:FV22)</f>
        <v>0.98174132192971297</v>
      </c>
      <c r="FW23" s="4"/>
      <c r="FX23" s="1" t="s">
        <v>21</v>
      </c>
      <c r="FY23" s="25">
        <f>AVERAGE(FY8:FY22)</f>
        <v>0.97548233355376057</v>
      </c>
      <c r="FZ23" s="4"/>
      <c r="GA23" s="1" t="s">
        <v>21</v>
      </c>
      <c r="GB23" s="25">
        <f>AVERAGE(GB8:GB22)</f>
        <v>0.9154670308248104</v>
      </c>
      <c r="GC23" s="4"/>
      <c r="GE23" s="1" t="s">
        <v>21</v>
      </c>
      <c r="GF23" s="25">
        <f>AVERAGE(GF8:GF22)</f>
        <v>0.97267155247142667</v>
      </c>
      <c r="GG23" s="4"/>
      <c r="GH23" s="1" t="s">
        <v>21</v>
      </c>
      <c r="GI23" s="25">
        <f>AVERAGE(GI8:GI22)</f>
        <v>0.97267155247142667</v>
      </c>
      <c r="GJ23" s="4"/>
      <c r="GL23" s="1" t="s">
        <v>21</v>
      </c>
      <c r="GM23" s="25">
        <f>AVERAGE(GM8:GM22)</f>
        <v>0.96266248346158656</v>
      </c>
      <c r="GN23" s="4"/>
      <c r="GO23" s="1" t="s">
        <v>21</v>
      </c>
      <c r="GP23" s="25">
        <f>AVERAGE(GP8:GP22)</f>
        <v>0.976243082084716</v>
      </c>
      <c r="GQ23" s="4"/>
    </row>
    <row r="25" spans="1:199" x14ac:dyDescent="0.3">
      <c r="EG25" s="6" t="s">
        <v>122</v>
      </c>
    </row>
    <row r="26" spans="1:199" x14ac:dyDescent="0.3">
      <c r="B26" s="6" t="s">
        <v>58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293D0-A3AF-43E0-B345-BC2D012B4C6F}">
  <dimension ref="A1:GF30"/>
  <sheetViews>
    <sheetView tabSelected="1" zoomScale="130" zoomScaleNormal="130" workbookViewId="0">
      <selection activeCell="B11" sqref="B11"/>
    </sheetView>
  </sheetViews>
  <sheetFormatPr defaultRowHeight="14.4" x14ac:dyDescent="0.3"/>
  <cols>
    <col min="32" max="32" width="9.5546875" bestFit="1" customWidth="1"/>
    <col min="101" max="101" width="24.88671875" bestFit="1" customWidth="1"/>
    <col min="102" max="103" width="18.5546875" bestFit="1" customWidth="1"/>
    <col min="104" max="104" width="18.44140625" bestFit="1" customWidth="1"/>
    <col min="105" max="106" width="24.88671875" bestFit="1" customWidth="1"/>
    <col min="107" max="107" width="20.6640625" bestFit="1" customWidth="1"/>
    <col min="108" max="110" width="24.33203125" bestFit="1" customWidth="1"/>
    <col min="112" max="112" width="9.77734375" customWidth="1"/>
    <col min="192" max="192" width="16.77734375" bestFit="1" customWidth="1"/>
    <col min="193" max="193" width="10.5546875" bestFit="1" customWidth="1"/>
  </cols>
  <sheetData>
    <row r="1" spans="1:188" x14ac:dyDescent="0.3">
      <c r="A1" t="s">
        <v>0</v>
      </c>
      <c r="B1" t="s">
        <v>134</v>
      </c>
      <c r="D1" t="s">
        <v>0</v>
      </c>
      <c r="E1" t="s">
        <v>129</v>
      </c>
      <c r="G1" t="s">
        <v>0</v>
      </c>
      <c r="H1" t="s">
        <v>129</v>
      </c>
      <c r="J1" t="s">
        <v>0</v>
      </c>
      <c r="K1" t="s">
        <v>130</v>
      </c>
      <c r="M1" t="s">
        <v>0</v>
      </c>
      <c r="N1" t="s">
        <v>131</v>
      </c>
      <c r="P1" t="s">
        <v>0</v>
      </c>
      <c r="Q1" t="s">
        <v>132</v>
      </c>
      <c r="S1" t="s">
        <v>0</v>
      </c>
      <c r="T1" t="s">
        <v>133</v>
      </c>
      <c r="V1" t="s">
        <v>0</v>
      </c>
      <c r="W1" t="s">
        <v>135</v>
      </c>
      <c r="Z1" t="s">
        <v>0</v>
      </c>
      <c r="AA1" t="s">
        <v>138</v>
      </c>
      <c r="AD1" t="s">
        <v>0</v>
      </c>
      <c r="AE1" t="s">
        <v>139</v>
      </c>
      <c r="AH1" t="s">
        <v>0</v>
      </c>
      <c r="AI1" t="s">
        <v>140</v>
      </c>
      <c r="AL1" t="s">
        <v>0</v>
      </c>
      <c r="AM1" t="s">
        <v>141</v>
      </c>
      <c r="AP1" t="s">
        <v>0</v>
      </c>
      <c r="AQ1" t="s">
        <v>143</v>
      </c>
      <c r="AT1" t="s">
        <v>0</v>
      </c>
      <c r="AU1" t="s">
        <v>144</v>
      </c>
      <c r="AX1" t="s">
        <v>0</v>
      </c>
      <c r="AY1" t="s">
        <v>145</v>
      </c>
      <c r="BB1" t="s">
        <v>0</v>
      </c>
      <c r="BC1" t="s">
        <v>146</v>
      </c>
      <c r="BF1" t="s">
        <v>0</v>
      </c>
      <c r="BG1" t="s">
        <v>147</v>
      </c>
      <c r="BJ1" t="s">
        <v>0</v>
      </c>
      <c r="BK1" t="s">
        <v>148</v>
      </c>
      <c r="BN1" t="s">
        <v>0</v>
      </c>
      <c r="BO1" t="s">
        <v>149</v>
      </c>
      <c r="BR1" t="s">
        <v>0</v>
      </c>
      <c r="BS1" t="s">
        <v>135</v>
      </c>
      <c r="BW1" t="s">
        <v>0</v>
      </c>
      <c r="BX1" t="s">
        <v>153</v>
      </c>
      <c r="CA1" t="s">
        <v>0</v>
      </c>
      <c r="CB1" t="s">
        <v>153</v>
      </c>
      <c r="CE1" t="s">
        <v>0</v>
      </c>
      <c r="CF1" t="s">
        <v>153</v>
      </c>
      <c r="CI1" t="s">
        <v>0</v>
      </c>
      <c r="CJ1" t="s">
        <v>153</v>
      </c>
      <c r="CM1" t="s">
        <v>0</v>
      </c>
      <c r="CN1" t="s">
        <v>153</v>
      </c>
    </row>
    <row r="2" spans="1:188" x14ac:dyDescent="0.3">
      <c r="A2" t="s">
        <v>2</v>
      </c>
      <c r="B2">
        <v>50</v>
      </c>
      <c r="D2" t="s">
        <v>2</v>
      </c>
      <c r="E2">
        <v>32</v>
      </c>
      <c r="G2" t="s">
        <v>2</v>
      </c>
      <c r="H2">
        <v>50</v>
      </c>
      <c r="J2" t="s">
        <v>2</v>
      </c>
      <c r="K2">
        <v>50</v>
      </c>
      <c r="M2" t="s">
        <v>2</v>
      </c>
      <c r="N2">
        <v>50</v>
      </c>
      <c r="P2" t="s">
        <v>2</v>
      </c>
      <c r="Q2">
        <v>150</v>
      </c>
      <c r="S2" t="s">
        <v>2</v>
      </c>
      <c r="T2">
        <v>150</v>
      </c>
      <c r="V2" t="s">
        <v>2</v>
      </c>
      <c r="W2" s="31" t="s">
        <v>136</v>
      </c>
      <c r="Z2" t="s">
        <v>2</v>
      </c>
      <c r="AA2" s="31" t="s">
        <v>136</v>
      </c>
      <c r="AD2" t="s">
        <v>2</v>
      </c>
      <c r="AE2" s="31" t="s">
        <v>136</v>
      </c>
      <c r="AH2" t="s">
        <v>2</v>
      </c>
      <c r="AI2" s="31" t="s">
        <v>136</v>
      </c>
      <c r="AL2" t="s">
        <v>2</v>
      </c>
      <c r="AM2" s="31" t="s">
        <v>136</v>
      </c>
      <c r="AP2" t="s">
        <v>2</v>
      </c>
      <c r="AQ2" s="31" t="s">
        <v>136</v>
      </c>
      <c r="AT2" t="s">
        <v>2</v>
      </c>
      <c r="AU2" s="31" t="s">
        <v>136</v>
      </c>
      <c r="AX2" t="s">
        <v>2</v>
      </c>
      <c r="AY2" s="31" t="s">
        <v>136</v>
      </c>
      <c r="BB2" t="s">
        <v>2</v>
      </c>
      <c r="BC2" s="31" t="s">
        <v>136</v>
      </c>
      <c r="BF2" t="s">
        <v>2</v>
      </c>
      <c r="BG2" s="31" t="s">
        <v>136</v>
      </c>
      <c r="BJ2" t="s">
        <v>2</v>
      </c>
      <c r="BK2" s="31" t="s">
        <v>136</v>
      </c>
      <c r="BN2" t="s">
        <v>2</v>
      </c>
      <c r="BO2" s="31" t="s">
        <v>136</v>
      </c>
      <c r="BR2" t="s">
        <v>2</v>
      </c>
      <c r="BS2" s="31" t="s">
        <v>136</v>
      </c>
      <c r="BW2" t="s">
        <v>2</v>
      </c>
      <c r="BX2" t="s">
        <v>152</v>
      </c>
      <c r="BY2" t="s">
        <v>152</v>
      </c>
      <c r="BZ2" t="s">
        <v>152</v>
      </c>
      <c r="CA2" t="s">
        <v>2</v>
      </c>
      <c r="CB2">
        <v>25</v>
      </c>
      <c r="CC2">
        <v>25</v>
      </c>
      <c r="CD2">
        <v>25</v>
      </c>
      <c r="CE2" t="s">
        <v>2</v>
      </c>
      <c r="CF2">
        <v>45</v>
      </c>
      <c r="CG2">
        <v>45</v>
      </c>
      <c r="CH2">
        <v>45</v>
      </c>
      <c r="CI2" t="s">
        <v>2</v>
      </c>
      <c r="CJ2">
        <v>50</v>
      </c>
      <c r="CK2">
        <v>50</v>
      </c>
      <c r="CL2">
        <v>50</v>
      </c>
      <c r="CM2" t="s">
        <v>2</v>
      </c>
      <c r="CO2" t="s">
        <v>155</v>
      </c>
      <c r="DH2" t="s">
        <v>170</v>
      </c>
    </row>
    <row r="3" spans="1:188" x14ac:dyDescent="0.3">
      <c r="A3" t="s">
        <v>3</v>
      </c>
      <c r="B3">
        <v>224</v>
      </c>
      <c r="D3" t="s">
        <v>3</v>
      </c>
      <c r="E3">
        <v>224</v>
      </c>
      <c r="G3" t="s">
        <v>3</v>
      </c>
      <c r="H3">
        <v>224</v>
      </c>
      <c r="J3" t="s">
        <v>3</v>
      </c>
      <c r="K3">
        <v>224</v>
      </c>
      <c r="M3" t="s">
        <v>3</v>
      </c>
      <c r="N3">
        <v>224</v>
      </c>
      <c r="P3" t="s">
        <v>3</v>
      </c>
      <c r="Q3">
        <v>224</v>
      </c>
      <c r="S3" t="s">
        <v>3</v>
      </c>
      <c r="T3">
        <v>224</v>
      </c>
      <c r="V3" t="s">
        <v>3</v>
      </c>
      <c r="W3">
        <v>224</v>
      </c>
      <c r="Z3" t="s">
        <v>3</v>
      </c>
      <c r="AA3">
        <v>224</v>
      </c>
      <c r="AD3" t="s">
        <v>3</v>
      </c>
      <c r="AE3">
        <v>224</v>
      </c>
      <c r="AH3" t="s">
        <v>3</v>
      </c>
      <c r="AI3">
        <v>224</v>
      </c>
      <c r="AL3" t="s">
        <v>3</v>
      </c>
      <c r="AM3">
        <v>224</v>
      </c>
      <c r="AP3" t="s">
        <v>3</v>
      </c>
      <c r="AQ3">
        <v>224</v>
      </c>
      <c r="AT3" t="s">
        <v>3</v>
      </c>
      <c r="AU3">
        <v>224</v>
      </c>
      <c r="AX3" t="s">
        <v>3</v>
      </c>
      <c r="AY3">
        <v>224</v>
      </c>
      <c r="BB3" t="s">
        <v>3</v>
      </c>
      <c r="BC3">
        <v>224</v>
      </c>
      <c r="BF3" t="s">
        <v>3</v>
      </c>
      <c r="BG3">
        <v>224</v>
      </c>
      <c r="BJ3" t="s">
        <v>3</v>
      </c>
      <c r="BK3">
        <v>224</v>
      </c>
      <c r="BN3" t="s">
        <v>3</v>
      </c>
      <c r="BO3">
        <v>224</v>
      </c>
      <c r="BR3" t="s">
        <v>3</v>
      </c>
      <c r="BS3">
        <v>224</v>
      </c>
      <c r="BW3" t="s">
        <v>3</v>
      </c>
      <c r="BX3">
        <v>224</v>
      </c>
      <c r="CA3" t="s">
        <v>3</v>
      </c>
      <c r="CB3">
        <v>224</v>
      </c>
      <c r="CE3" t="s">
        <v>3</v>
      </c>
      <c r="CF3">
        <v>224</v>
      </c>
      <c r="CI3" t="s">
        <v>3</v>
      </c>
      <c r="CJ3">
        <v>224</v>
      </c>
      <c r="CM3" t="s">
        <v>3</v>
      </c>
      <c r="CN3">
        <v>224</v>
      </c>
      <c r="DH3" t="s">
        <v>171</v>
      </c>
    </row>
    <row r="4" spans="1:188" x14ac:dyDescent="0.3">
      <c r="A4" t="s">
        <v>4</v>
      </c>
      <c r="B4" t="s">
        <v>5</v>
      </c>
      <c r="D4" t="s">
        <v>4</v>
      </c>
      <c r="E4" t="s">
        <v>5</v>
      </c>
      <c r="G4" t="s">
        <v>4</v>
      </c>
      <c r="H4" t="s">
        <v>5</v>
      </c>
      <c r="J4" t="s">
        <v>4</v>
      </c>
      <c r="K4" t="s">
        <v>5</v>
      </c>
      <c r="M4" t="s">
        <v>4</v>
      </c>
      <c r="N4" t="s">
        <v>5</v>
      </c>
      <c r="P4" t="s">
        <v>4</v>
      </c>
      <c r="Q4" t="s">
        <v>5</v>
      </c>
      <c r="S4" t="s">
        <v>4</v>
      </c>
      <c r="T4" t="s">
        <v>5</v>
      </c>
      <c r="V4" t="s">
        <v>4</v>
      </c>
      <c r="W4" t="s">
        <v>5</v>
      </c>
      <c r="Z4" t="s">
        <v>4</v>
      </c>
      <c r="AA4" t="s">
        <v>5</v>
      </c>
      <c r="AD4" t="s">
        <v>4</v>
      </c>
      <c r="AE4" t="s">
        <v>5</v>
      </c>
      <c r="AH4" t="s">
        <v>4</v>
      </c>
      <c r="AI4" t="s">
        <v>5</v>
      </c>
      <c r="AL4" t="s">
        <v>4</v>
      </c>
      <c r="AM4" t="s">
        <v>5</v>
      </c>
      <c r="AP4" t="s">
        <v>4</v>
      </c>
      <c r="AQ4" t="s">
        <v>5</v>
      </c>
      <c r="AT4" t="s">
        <v>4</v>
      </c>
      <c r="AU4" t="s">
        <v>5</v>
      </c>
      <c r="AX4" t="s">
        <v>4</v>
      </c>
      <c r="AY4" t="s">
        <v>5</v>
      </c>
      <c r="BB4" t="s">
        <v>4</v>
      </c>
      <c r="BC4" t="s">
        <v>5</v>
      </c>
      <c r="BF4" t="s">
        <v>4</v>
      </c>
      <c r="BG4" t="s">
        <v>5</v>
      </c>
      <c r="BJ4" t="s">
        <v>4</v>
      </c>
      <c r="BK4" t="s">
        <v>5</v>
      </c>
      <c r="BN4" t="s">
        <v>4</v>
      </c>
      <c r="BO4" t="s">
        <v>5</v>
      </c>
      <c r="BR4" t="s">
        <v>4</v>
      </c>
      <c r="BS4" t="s">
        <v>5</v>
      </c>
      <c r="BW4" t="s">
        <v>4</v>
      </c>
      <c r="BX4" t="s">
        <v>5</v>
      </c>
      <c r="CA4" t="s">
        <v>4</v>
      </c>
      <c r="CB4" t="s">
        <v>5</v>
      </c>
      <c r="CE4" t="s">
        <v>4</v>
      </c>
      <c r="CF4" t="s">
        <v>5</v>
      </c>
      <c r="CI4" t="s">
        <v>4</v>
      </c>
      <c r="CJ4" t="s">
        <v>5</v>
      </c>
      <c r="CM4" t="s">
        <v>4</v>
      </c>
      <c r="CN4" t="s">
        <v>5</v>
      </c>
    </row>
    <row r="5" spans="1:188" x14ac:dyDescent="0.3">
      <c r="A5" t="s">
        <v>70</v>
      </c>
      <c r="B5" t="s">
        <v>105</v>
      </c>
      <c r="D5" t="s">
        <v>70</v>
      </c>
      <c r="E5" t="s">
        <v>105</v>
      </c>
      <c r="G5" t="s">
        <v>70</v>
      </c>
      <c r="H5" t="s">
        <v>105</v>
      </c>
      <c r="J5" t="s">
        <v>70</v>
      </c>
      <c r="K5" t="s">
        <v>105</v>
      </c>
      <c r="M5" t="s">
        <v>70</v>
      </c>
      <c r="N5" t="s">
        <v>105</v>
      </c>
      <c r="P5" t="s">
        <v>70</v>
      </c>
      <c r="Q5" t="s">
        <v>105</v>
      </c>
      <c r="S5" t="s">
        <v>70</v>
      </c>
      <c r="T5" t="s">
        <v>105</v>
      </c>
      <c r="V5" t="s">
        <v>70</v>
      </c>
      <c r="W5" t="s">
        <v>137</v>
      </c>
      <c r="Z5" t="s">
        <v>70</v>
      </c>
      <c r="AA5" t="s">
        <v>137</v>
      </c>
      <c r="AD5" t="s">
        <v>70</v>
      </c>
      <c r="AE5" t="s">
        <v>137</v>
      </c>
      <c r="AH5" t="s">
        <v>70</v>
      </c>
      <c r="AI5" t="s">
        <v>137</v>
      </c>
      <c r="AL5" t="s">
        <v>70</v>
      </c>
      <c r="AM5" t="s">
        <v>137</v>
      </c>
      <c r="AP5" t="s">
        <v>70</v>
      </c>
      <c r="AQ5" t="s">
        <v>137</v>
      </c>
      <c r="AT5" t="s">
        <v>70</v>
      </c>
      <c r="AU5" t="s">
        <v>137</v>
      </c>
      <c r="AX5" t="s">
        <v>70</v>
      </c>
      <c r="AY5" t="s">
        <v>137</v>
      </c>
      <c r="BB5" t="s">
        <v>70</v>
      </c>
      <c r="BC5" t="s">
        <v>137</v>
      </c>
      <c r="BF5" t="s">
        <v>70</v>
      </c>
      <c r="BG5" t="s">
        <v>137</v>
      </c>
      <c r="BJ5" t="s">
        <v>70</v>
      </c>
      <c r="BK5" t="s">
        <v>137</v>
      </c>
      <c r="BN5" t="s">
        <v>70</v>
      </c>
      <c r="BO5" t="s">
        <v>137</v>
      </c>
      <c r="BR5" t="s">
        <v>70</v>
      </c>
      <c r="BS5" t="s">
        <v>150</v>
      </c>
      <c r="BW5" t="s">
        <v>70</v>
      </c>
      <c r="BX5" t="s">
        <v>151</v>
      </c>
      <c r="CA5" t="s">
        <v>70</v>
      </c>
      <c r="CB5" t="s">
        <v>151</v>
      </c>
      <c r="CE5" t="s">
        <v>70</v>
      </c>
      <c r="CF5" t="s">
        <v>151</v>
      </c>
      <c r="CI5" t="s">
        <v>70</v>
      </c>
      <c r="CJ5" t="s">
        <v>151</v>
      </c>
      <c r="CM5" t="s">
        <v>70</v>
      </c>
      <c r="CN5" t="s">
        <v>154</v>
      </c>
      <c r="CX5" t="s">
        <v>158</v>
      </c>
      <c r="CY5" t="s">
        <v>159</v>
      </c>
      <c r="DH5" t="s">
        <v>164</v>
      </c>
      <c r="DP5" t="s">
        <v>164</v>
      </c>
    </row>
    <row r="6" spans="1:188" x14ac:dyDescent="0.3">
      <c r="CR6" t="s">
        <v>156</v>
      </c>
      <c r="CW6" t="s">
        <v>157</v>
      </c>
      <c r="CX6" t="s">
        <v>151</v>
      </c>
      <c r="CY6" t="s">
        <v>151</v>
      </c>
      <c r="CZ6" t="s">
        <v>151</v>
      </c>
      <c r="DA6" t="s">
        <v>157</v>
      </c>
      <c r="DB6" t="s">
        <v>154</v>
      </c>
      <c r="DC6" t="s">
        <v>154</v>
      </c>
      <c r="DD6" s="38" t="s">
        <v>160</v>
      </c>
      <c r="DE6" t="s">
        <v>160</v>
      </c>
      <c r="DF6" t="s">
        <v>160</v>
      </c>
      <c r="DH6" s="35" t="s">
        <v>163</v>
      </c>
      <c r="DP6" s="35" t="s">
        <v>165</v>
      </c>
      <c r="ED6" t="s">
        <v>186</v>
      </c>
      <c r="EG6" t="s">
        <v>185</v>
      </c>
      <c r="EJ6" t="s">
        <v>184</v>
      </c>
      <c r="EM6" t="s">
        <v>183</v>
      </c>
      <c r="EP6" t="s">
        <v>178</v>
      </c>
      <c r="ES6" t="s">
        <v>179</v>
      </c>
      <c r="EV6" t="s">
        <v>180</v>
      </c>
      <c r="EY6" t="s">
        <v>181</v>
      </c>
      <c r="FB6" t="s">
        <v>182</v>
      </c>
      <c r="FY6" t="s">
        <v>190</v>
      </c>
      <c r="GB6" t="s">
        <v>191</v>
      </c>
    </row>
    <row r="7" spans="1:188" x14ac:dyDescent="0.3">
      <c r="B7" t="s">
        <v>73</v>
      </c>
      <c r="E7" t="s">
        <v>73</v>
      </c>
      <c r="H7" t="s">
        <v>73</v>
      </c>
      <c r="K7" t="s">
        <v>73</v>
      </c>
      <c r="N7" t="s">
        <v>73</v>
      </c>
      <c r="Q7" t="s">
        <v>73</v>
      </c>
      <c r="T7" t="s">
        <v>73</v>
      </c>
      <c r="W7" t="s">
        <v>73</v>
      </c>
      <c r="AA7" t="s">
        <v>73</v>
      </c>
      <c r="AE7" t="s">
        <v>73</v>
      </c>
      <c r="AI7" t="s">
        <v>73</v>
      </c>
      <c r="AM7" t="s">
        <v>73</v>
      </c>
      <c r="AQ7" t="s">
        <v>73</v>
      </c>
      <c r="AU7" t="s">
        <v>73</v>
      </c>
      <c r="AY7" t="s">
        <v>73</v>
      </c>
      <c r="BC7" t="s">
        <v>73</v>
      </c>
      <c r="BG7" t="s">
        <v>73</v>
      </c>
      <c r="BK7" t="s">
        <v>73</v>
      </c>
      <c r="BO7" t="s">
        <v>73</v>
      </c>
      <c r="BS7" t="s">
        <v>73</v>
      </c>
      <c r="BX7" t="s">
        <v>73</v>
      </c>
      <c r="CB7" t="s">
        <v>73</v>
      </c>
      <c r="CF7" t="s">
        <v>73</v>
      </c>
      <c r="CJ7" t="s">
        <v>73</v>
      </c>
      <c r="CN7" t="s">
        <v>73</v>
      </c>
      <c r="CR7" s="38">
        <v>5</v>
      </c>
      <c r="CS7">
        <v>10</v>
      </c>
      <c r="CT7">
        <v>25</v>
      </c>
      <c r="CU7" s="35">
        <v>0.5</v>
      </c>
      <c r="CV7" s="35">
        <v>0.75</v>
      </c>
      <c r="CW7" s="35">
        <v>0.25</v>
      </c>
      <c r="CX7" s="35">
        <v>0.25</v>
      </c>
      <c r="CY7" s="35">
        <v>0.25</v>
      </c>
      <c r="CZ7" s="35">
        <v>0.5</v>
      </c>
      <c r="DA7" s="35">
        <v>0.5</v>
      </c>
      <c r="DB7" s="35">
        <v>0.5</v>
      </c>
      <c r="DC7" s="35">
        <v>0.75</v>
      </c>
      <c r="DD7" s="36">
        <v>0.75</v>
      </c>
      <c r="DE7" s="35">
        <v>0.8</v>
      </c>
      <c r="DF7" s="35">
        <v>0.9</v>
      </c>
      <c r="DH7" s="39" t="s">
        <v>161</v>
      </c>
      <c r="DI7" s="39" t="s">
        <v>162</v>
      </c>
      <c r="DK7" s="39" t="s">
        <v>161</v>
      </c>
      <c r="DL7" s="39" t="s">
        <v>162</v>
      </c>
      <c r="DM7" s="39" t="s">
        <v>161</v>
      </c>
      <c r="DN7" s="39" t="s">
        <v>162</v>
      </c>
      <c r="DP7" s="39" t="s">
        <v>161</v>
      </c>
      <c r="DQ7" s="39" t="s">
        <v>162</v>
      </c>
      <c r="DT7" s="40" t="s">
        <v>161</v>
      </c>
      <c r="DU7" s="40" t="s">
        <v>162</v>
      </c>
      <c r="FB7" s="35" t="s">
        <v>165</v>
      </c>
      <c r="FM7" s="41" t="s">
        <v>188</v>
      </c>
      <c r="FN7" s="41" t="s">
        <v>189</v>
      </c>
      <c r="FP7" s="35">
        <v>0.75</v>
      </c>
      <c r="FS7" s="35">
        <v>0.7</v>
      </c>
      <c r="FV7" s="35">
        <v>0.85</v>
      </c>
    </row>
    <row r="8" spans="1:188" x14ac:dyDescent="0.3">
      <c r="A8" s="1" t="s">
        <v>6</v>
      </c>
      <c r="B8" s="22">
        <v>0.98475120385232695</v>
      </c>
      <c r="D8" s="1" t="s">
        <v>6</v>
      </c>
      <c r="E8" s="22">
        <v>0.98796147672552204</v>
      </c>
      <c r="G8" s="1" t="s">
        <v>6</v>
      </c>
      <c r="H8" s="22">
        <v>0.99157303370786498</v>
      </c>
      <c r="J8" s="1" t="s">
        <v>6</v>
      </c>
      <c r="K8" s="42">
        <v>1</v>
      </c>
      <c r="M8" s="1" t="s">
        <v>6</v>
      </c>
      <c r="N8" s="22">
        <v>0.99959871589085103</v>
      </c>
      <c r="P8" s="1" t="s">
        <v>6</v>
      </c>
      <c r="Q8" s="22">
        <v>0.98996789727126799</v>
      </c>
      <c r="S8" s="1" t="s">
        <v>6</v>
      </c>
      <c r="T8" s="22">
        <v>0.99</v>
      </c>
      <c r="V8" s="1" t="s">
        <v>6</v>
      </c>
      <c r="W8" s="22">
        <v>0.99678972712680602</v>
      </c>
      <c r="Z8" s="1" t="s">
        <v>6</v>
      </c>
      <c r="AA8" s="22">
        <v>0.992776886035313</v>
      </c>
      <c r="AD8" s="32" t="s">
        <v>6</v>
      </c>
      <c r="AE8" s="27">
        <v>0.992776886035313</v>
      </c>
      <c r="AH8" s="1" t="s">
        <v>6</v>
      </c>
      <c r="AI8" s="22">
        <v>0.99117174959871601</v>
      </c>
      <c r="AL8" s="1" t="s">
        <v>6</v>
      </c>
      <c r="AM8" s="22">
        <v>0.99759229534510396</v>
      </c>
      <c r="AP8" s="1" t="s">
        <v>6</v>
      </c>
      <c r="AQ8" s="22">
        <v>0.99398073836276102</v>
      </c>
      <c r="AS8" s="30"/>
      <c r="AT8" s="1" t="s">
        <v>6</v>
      </c>
      <c r="AU8" s="22">
        <v>0.98876404494381998</v>
      </c>
      <c r="AX8" s="1" t="s">
        <v>6</v>
      </c>
      <c r="AY8" s="22">
        <v>0.992776886035313</v>
      </c>
      <c r="BB8" s="1" t="s">
        <v>6</v>
      </c>
      <c r="BC8" s="22">
        <v>0.98876404494381998</v>
      </c>
      <c r="BE8" s="30"/>
      <c r="BF8" s="1" t="s">
        <v>6</v>
      </c>
      <c r="BG8" s="22">
        <v>0.99036918138041696</v>
      </c>
      <c r="BI8" s="30"/>
      <c r="BJ8" s="1" t="s">
        <v>6</v>
      </c>
      <c r="BK8" s="22">
        <v>0.98916532905297005</v>
      </c>
      <c r="BM8" s="30"/>
      <c r="BN8" s="1" t="s">
        <v>6</v>
      </c>
      <c r="BO8" s="22">
        <v>0.99678972712680602</v>
      </c>
      <c r="BR8" s="1" t="s">
        <v>6</v>
      </c>
      <c r="BS8" s="22">
        <v>0.99598715890850698</v>
      </c>
      <c r="BW8" s="1" t="s">
        <v>6</v>
      </c>
      <c r="BX8" s="22">
        <v>0.99719101123595499</v>
      </c>
      <c r="CA8" s="1" t="s">
        <v>6</v>
      </c>
      <c r="CB8" s="22">
        <v>0.99317817014446197</v>
      </c>
      <c r="CE8" s="1" t="s">
        <v>6</v>
      </c>
      <c r="CF8" s="22">
        <v>0.99197431781701495</v>
      </c>
      <c r="CI8" s="1" t="s">
        <v>6</v>
      </c>
      <c r="CJ8" s="22">
        <v>0.99317817014446197</v>
      </c>
      <c r="CM8" s="1" t="s">
        <v>6</v>
      </c>
      <c r="CN8" s="22">
        <v>0.99839486356340301</v>
      </c>
      <c r="CQ8" s="22">
        <v>0.99719101123595499</v>
      </c>
      <c r="CR8" s="37">
        <v>0.98996789727126799</v>
      </c>
      <c r="CS8" s="30">
        <v>0.99036918138041696</v>
      </c>
      <c r="CT8" s="30">
        <v>0.99638844301765706</v>
      </c>
      <c r="CU8" s="30">
        <v>0.99438202247190999</v>
      </c>
      <c r="CV8">
        <v>0.99197431781701495</v>
      </c>
      <c r="CW8" s="30">
        <v>0.98394863563402901</v>
      </c>
      <c r="CX8" s="30">
        <v>0.98073836276083504</v>
      </c>
      <c r="CY8" s="30">
        <v>0.98996789727126799</v>
      </c>
      <c r="CZ8" s="30">
        <v>0.98956661316211902</v>
      </c>
      <c r="DA8" s="30">
        <v>0.98033707865168496</v>
      </c>
      <c r="DB8" s="30">
        <v>0.985553772070626</v>
      </c>
      <c r="DC8" s="30">
        <v>0.98996789727126799</v>
      </c>
      <c r="DD8" s="37">
        <v>0.98916532905297005</v>
      </c>
      <c r="DE8" s="30">
        <v>0.99638844301765706</v>
      </c>
      <c r="DF8" s="30">
        <v>0.98876404494381998</v>
      </c>
      <c r="DH8" s="30">
        <v>0.97953451043338702</v>
      </c>
      <c r="DI8" s="30">
        <v>0.98482415127582601</v>
      </c>
      <c r="DK8" s="30">
        <v>0.97873194221508797</v>
      </c>
      <c r="DL8" s="30">
        <v>0.98490321337391196</v>
      </c>
      <c r="DM8" s="30">
        <v>0.97913322632423805</v>
      </c>
      <c r="DN8" s="30">
        <v>0.98515036110096199</v>
      </c>
      <c r="DP8" s="30">
        <v>0.97070626003210303</v>
      </c>
      <c r="DQ8" s="30">
        <v>0.98257035606009702</v>
      </c>
      <c r="DT8" s="37">
        <v>0.97953451043338702</v>
      </c>
      <c r="DU8" s="37">
        <v>0.98510891204183004</v>
      </c>
      <c r="DX8" s="30">
        <v>0.97953451043338702</v>
      </c>
      <c r="DY8" s="30">
        <v>0.98495528151115197</v>
      </c>
      <c r="EA8" s="30">
        <v>0.97873194221508797</v>
      </c>
      <c r="EB8" s="30">
        <v>0.98507557351765496</v>
      </c>
      <c r="ED8">
        <v>0.98756019261637196</v>
      </c>
      <c r="EE8">
        <v>0.97495122125495803</v>
      </c>
      <c r="EG8">
        <v>0.99317817014446197</v>
      </c>
      <c r="EH8">
        <v>0.98341459716482604</v>
      </c>
      <c r="EJ8">
        <v>0.99398073836276102</v>
      </c>
      <c r="EK8">
        <v>0.981913972823791</v>
      </c>
      <c r="EM8">
        <v>0.99478330658105896</v>
      </c>
      <c r="EN8">
        <v>0.98456489012321702</v>
      </c>
      <c r="EP8" s="30">
        <v>0.98274478330658099</v>
      </c>
      <c r="EQ8" s="30">
        <v>0.97957111053692103</v>
      </c>
      <c r="ES8">
        <v>0.97913322632423805</v>
      </c>
      <c r="ET8">
        <v>0.98261991325298204</v>
      </c>
      <c r="EV8">
        <v>0.96869983948635596</v>
      </c>
      <c r="EW8">
        <v>0.96527215193717997</v>
      </c>
      <c r="EY8">
        <v>0.98595505617977497</v>
      </c>
      <c r="EZ8">
        <v>0.98156277358472399</v>
      </c>
      <c r="FB8" s="37">
        <v>0.97913322632423805</v>
      </c>
      <c r="FC8" s="37">
        <v>0.98206243440880803</v>
      </c>
      <c r="FE8" s="30">
        <v>0.97913322632423805</v>
      </c>
      <c r="FF8" s="30">
        <v>0.98169378514901795</v>
      </c>
      <c r="FH8" s="30">
        <v>0.97913322632423805</v>
      </c>
      <c r="FI8" s="30">
        <v>0.98163977317176798</v>
      </c>
      <c r="FL8" s="1" t="s">
        <v>6</v>
      </c>
      <c r="FM8" s="22">
        <v>0.997</v>
      </c>
      <c r="FN8" s="22">
        <v>0.97913322632423805</v>
      </c>
      <c r="FP8" s="30">
        <v>0.97913322632423805</v>
      </c>
      <c r="FQ8" s="30">
        <v>0.98171278652314198</v>
      </c>
      <c r="FS8" s="30">
        <v>0.97993579454253599</v>
      </c>
      <c r="FT8" s="30">
        <v>0.98214701277933902</v>
      </c>
      <c r="FV8" s="30">
        <v>0.97913322632423805</v>
      </c>
      <c r="FW8" s="30">
        <v>0.98176797124863902</v>
      </c>
      <c r="FY8" s="30">
        <v>0.98715890850722299</v>
      </c>
      <c r="FZ8" s="30">
        <v>0.98789932499004396</v>
      </c>
      <c r="GB8" s="30">
        <v>0.99237560192616403</v>
      </c>
      <c r="GC8" s="30">
        <v>0.98878201259646004</v>
      </c>
      <c r="GE8" s="30">
        <v>0.97913322632423805</v>
      </c>
      <c r="GF8" s="30">
        <v>0.98167522160426701</v>
      </c>
    </row>
    <row r="9" spans="1:188" x14ac:dyDescent="0.3">
      <c r="A9" s="1" t="s">
        <v>7</v>
      </c>
      <c r="B9" s="22">
        <v>0.98329156223893099</v>
      </c>
      <c r="D9" s="1" t="s">
        <v>7</v>
      </c>
      <c r="E9" s="22">
        <v>0.98579782790309101</v>
      </c>
      <c r="G9" s="1" t="s">
        <v>7</v>
      </c>
      <c r="H9" s="22">
        <v>0.98412698412698396</v>
      </c>
      <c r="J9" s="1" t="s">
        <v>7</v>
      </c>
      <c r="K9" s="22">
        <v>0.98412698412698396</v>
      </c>
      <c r="M9" s="1" t="s">
        <v>7</v>
      </c>
      <c r="N9" s="22">
        <v>0.98329156223893099</v>
      </c>
      <c r="P9" s="1" t="s">
        <v>7</v>
      </c>
      <c r="Q9" s="22">
        <v>0.87301587301587302</v>
      </c>
      <c r="S9" s="1" t="s">
        <v>7</v>
      </c>
      <c r="T9" s="22">
        <v>0.87301587301587302</v>
      </c>
      <c r="V9" s="1" t="s">
        <v>7</v>
      </c>
      <c r="W9" s="22">
        <v>0.97911445279866305</v>
      </c>
      <c r="Z9" s="1" t="s">
        <v>7</v>
      </c>
      <c r="AA9" s="22">
        <v>0.97577276524644896</v>
      </c>
      <c r="AD9" s="32" t="s">
        <v>7</v>
      </c>
      <c r="AE9" s="27">
        <v>0.977443609022556</v>
      </c>
      <c r="AH9" s="1" t="s">
        <v>7</v>
      </c>
      <c r="AI9" s="22">
        <v>0.977443609022556</v>
      </c>
      <c r="AL9" s="1" t="s">
        <v>7</v>
      </c>
      <c r="AM9" s="22">
        <v>0.96658312447786099</v>
      </c>
      <c r="AP9" s="1" t="s">
        <v>7</v>
      </c>
      <c r="AQ9" s="22">
        <v>0.97493734335839599</v>
      </c>
      <c r="AS9" s="30"/>
      <c r="AT9" s="1" t="s">
        <v>7</v>
      </c>
      <c r="AU9" s="22">
        <v>0.88554720133667497</v>
      </c>
      <c r="AX9" s="1" t="s">
        <v>7</v>
      </c>
      <c r="AY9" s="22">
        <v>0.97911445279866305</v>
      </c>
      <c r="BB9" s="1" t="s">
        <v>7</v>
      </c>
      <c r="BC9" s="22">
        <v>0.97911445279866305</v>
      </c>
      <c r="BE9" s="30"/>
      <c r="BF9" s="1" t="s">
        <v>7</v>
      </c>
      <c r="BG9" s="22">
        <v>0.97911445279866305</v>
      </c>
      <c r="BI9" s="30"/>
      <c r="BJ9" s="1" t="s">
        <v>7</v>
      </c>
      <c r="BK9" s="22">
        <v>0.97660818713450304</v>
      </c>
      <c r="BM9" s="30"/>
      <c r="BN9" s="1" t="s">
        <v>7</v>
      </c>
      <c r="BO9" s="22">
        <v>0.98412698412698396</v>
      </c>
      <c r="BR9" s="1" t="s">
        <v>7</v>
      </c>
      <c r="BS9" s="22">
        <v>0.97493734335839599</v>
      </c>
      <c r="BW9" s="1" t="s">
        <v>7</v>
      </c>
      <c r="BX9" s="22">
        <v>0.81787802840434398</v>
      </c>
      <c r="CA9" s="1" t="s">
        <v>7</v>
      </c>
      <c r="CB9" s="22">
        <v>0.94402673350041799</v>
      </c>
      <c r="CE9" s="1" t="s">
        <v>7</v>
      </c>
      <c r="CF9" s="22">
        <v>0.90142021720969101</v>
      </c>
      <c r="CI9" s="1" t="s">
        <v>7</v>
      </c>
      <c r="CJ9" s="22">
        <v>0.90392648287385102</v>
      </c>
      <c r="CM9" s="1" t="s">
        <v>7</v>
      </c>
      <c r="CN9" s="22">
        <v>0.98245614035087703</v>
      </c>
      <c r="CQ9" s="22">
        <v>0.81787802840434398</v>
      </c>
      <c r="CR9" s="37">
        <v>0.83458646616541399</v>
      </c>
      <c r="CS9" s="30">
        <v>0.92731829573934799</v>
      </c>
      <c r="CT9" s="30">
        <v>0.94402673350041799</v>
      </c>
      <c r="CU9" s="30">
        <v>0.91144527986633295</v>
      </c>
      <c r="CV9">
        <v>0.868003341687552</v>
      </c>
      <c r="CW9" s="30">
        <v>0.97159565580618201</v>
      </c>
      <c r="CX9" s="30">
        <v>0.90977443609022601</v>
      </c>
      <c r="CY9" s="30">
        <v>0.91311612364243899</v>
      </c>
      <c r="CZ9" s="30">
        <v>0.92481203007518797</v>
      </c>
      <c r="DA9" s="30">
        <v>0.96825396825396803</v>
      </c>
      <c r="DB9" s="30">
        <v>0.98078529657476998</v>
      </c>
      <c r="DC9" s="30">
        <v>0.97243107769423598</v>
      </c>
      <c r="DD9" s="37">
        <v>0.97243107769423598</v>
      </c>
      <c r="DE9" s="30">
        <v>0.97911445279866305</v>
      </c>
      <c r="DF9" s="30">
        <v>0.95488721804511301</v>
      </c>
      <c r="DH9" s="30">
        <v>0.98245614035087703</v>
      </c>
      <c r="DI9" s="30">
        <v>0.97417516526890802</v>
      </c>
      <c r="DK9" s="30">
        <v>0.98245614035087703</v>
      </c>
      <c r="DL9" s="30">
        <v>0.97331774206530697</v>
      </c>
      <c r="DM9" s="30">
        <v>0.98245614035087703</v>
      </c>
      <c r="DN9" s="30">
        <v>0.97305359466282204</v>
      </c>
      <c r="DP9" s="30">
        <v>0.98412698412698396</v>
      </c>
      <c r="DQ9" s="30">
        <v>0.97105432068834496</v>
      </c>
      <c r="DT9" s="37">
        <v>0.98245614035087703</v>
      </c>
      <c r="DU9" s="37">
        <v>0.97521797383357001</v>
      </c>
      <c r="DX9" s="30">
        <v>0.98162071846282395</v>
      </c>
      <c r="DY9" s="30">
        <v>0.97407551016710203</v>
      </c>
      <c r="EA9" s="30">
        <v>0.98412698412698396</v>
      </c>
      <c r="EB9" s="30">
        <v>0.97474759846046199</v>
      </c>
      <c r="ED9">
        <v>0.64912280701754399</v>
      </c>
      <c r="EE9">
        <v>0.790567842919075</v>
      </c>
      <c r="EG9">
        <v>0.96324143692564801</v>
      </c>
      <c r="EH9">
        <v>0.95225387453279897</v>
      </c>
      <c r="EJ9">
        <v>0.97076023391812905</v>
      </c>
      <c r="EK9">
        <v>0.95915162654293595</v>
      </c>
      <c r="EM9">
        <v>0.98579782790309101</v>
      </c>
      <c r="EN9">
        <v>0.97091245301433504</v>
      </c>
      <c r="EP9" s="30">
        <v>0.98830409356725202</v>
      </c>
      <c r="EQ9" s="30">
        <v>0.97443039630916195</v>
      </c>
      <c r="ES9">
        <v>0.98329156223893099</v>
      </c>
      <c r="ET9">
        <v>0.975227244878769</v>
      </c>
      <c r="EV9">
        <v>0.96157059314953996</v>
      </c>
      <c r="EW9">
        <v>0.95639212040609001</v>
      </c>
      <c r="EY9">
        <v>0.97243107769423598</v>
      </c>
      <c r="EZ9">
        <v>0.96696324808941903</v>
      </c>
      <c r="FB9" s="37">
        <v>0.98579782790309101</v>
      </c>
      <c r="FC9" s="37">
        <v>0.97768801163105501</v>
      </c>
      <c r="FE9" s="30">
        <v>0.98579782790309101</v>
      </c>
      <c r="FF9" s="30">
        <v>0.97773370119664604</v>
      </c>
      <c r="FH9" s="30">
        <v>0.98579782790309101</v>
      </c>
      <c r="FI9" s="30">
        <v>0.97778492409074302</v>
      </c>
      <c r="FL9" s="1" t="s">
        <v>7</v>
      </c>
      <c r="FM9" s="22">
        <v>0.997</v>
      </c>
      <c r="FN9" s="22">
        <v>0.98579782790309101</v>
      </c>
      <c r="FP9" s="30">
        <v>0.98579782790309101</v>
      </c>
      <c r="FQ9" s="30">
        <v>0.97690475200486804</v>
      </c>
      <c r="FS9" s="30">
        <v>0.98412698412698396</v>
      </c>
      <c r="FT9" s="30">
        <v>0.97574543910119704</v>
      </c>
      <c r="FV9" s="30">
        <v>0.98496240601503804</v>
      </c>
      <c r="FW9" s="30">
        <v>0.978753073819986</v>
      </c>
      <c r="FY9" s="30">
        <v>0.98746867167919805</v>
      </c>
      <c r="FZ9" s="30">
        <v>0.98181470724819198</v>
      </c>
      <c r="GB9" s="30">
        <v>0.98746867167919805</v>
      </c>
      <c r="GC9" s="30">
        <v>0.98075381881040202</v>
      </c>
      <c r="GE9" s="30">
        <v>0.98496240601503804</v>
      </c>
      <c r="GF9" s="30">
        <v>0.97784611980607905</v>
      </c>
    </row>
    <row r="10" spans="1:188" x14ac:dyDescent="0.3">
      <c r="A10" s="1" t="s">
        <v>8</v>
      </c>
      <c r="B10" s="22">
        <v>1</v>
      </c>
      <c r="D10" s="1" t="s">
        <v>8</v>
      </c>
      <c r="E10" s="22">
        <v>1</v>
      </c>
      <c r="G10" s="1" t="s">
        <v>8</v>
      </c>
      <c r="H10" s="22">
        <v>1</v>
      </c>
      <c r="J10" s="1" t="s">
        <v>8</v>
      </c>
      <c r="K10" s="22">
        <v>1</v>
      </c>
      <c r="M10" s="1" t="s">
        <v>8</v>
      </c>
      <c r="N10" s="22">
        <v>1</v>
      </c>
      <c r="P10" s="1" t="s">
        <v>8</v>
      </c>
      <c r="Q10" s="22">
        <v>1</v>
      </c>
      <c r="S10" s="1" t="s">
        <v>8</v>
      </c>
      <c r="T10" s="22">
        <v>1</v>
      </c>
      <c r="V10" s="1" t="s">
        <v>8</v>
      </c>
      <c r="W10" s="22">
        <v>1</v>
      </c>
      <c r="Z10" s="1" t="s">
        <v>8</v>
      </c>
      <c r="AA10" s="22">
        <v>1</v>
      </c>
      <c r="AD10" s="32" t="s">
        <v>8</v>
      </c>
      <c r="AE10" s="27">
        <v>1</v>
      </c>
      <c r="AH10" s="1" t="s">
        <v>8</v>
      </c>
      <c r="AI10" s="22">
        <v>1</v>
      </c>
      <c r="AL10" s="1" t="s">
        <v>8</v>
      </c>
      <c r="AM10" s="22">
        <v>1</v>
      </c>
      <c r="AP10" s="1" t="s">
        <v>8</v>
      </c>
      <c r="AQ10" s="22">
        <v>1</v>
      </c>
      <c r="AS10" s="30"/>
      <c r="AT10" s="1" t="s">
        <v>8</v>
      </c>
      <c r="AU10" s="22">
        <v>1</v>
      </c>
      <c r="AX10" s="1" t="s">
        <v>8</v>
      </c>
      <c r="AY10" s="22">
        <v>1</v>
      </c>
      <c r="BB10" s="1" t="s">
        <v>8</v>
      </c>
      <c r="BC10" s="22">
        <v>1</v>
      </c>
      <c r="BE10" s="30"/>
      <c r="BF10" s="1" t="s">
        <v>8</v>
      </c>
      <c r="BG10" s="22">
        <v>1</v>
      </c>
      <c r="BI10" s="30"/>
      <c r="BJ10" s="1" t="s">
        <v>8</v>
      </c>
      <c r="BK10" s="22">
        <v>1</v>
      </c>
      <c r="BM10" s="30"/>
      <c r="BN10" s="1" t="s">
        <v>8</v>
      </c>
      <c r="BO10" s="22">
        <v>1</v>
      </c>
      <c r="BR10" s="1" t="s">
        <v>8</v>
      </c>
      <c r="BS10" s="22">
        <v>1</v>
      </c>
      <c r="BW10" s="1" t="s">
        <v>8</v>
      </c>
      <c r="BX10" s="34">
        <v>1</v>
      </c>
      <c r="CA10" s="1" t="s">
        <v>8</v>
      </c>
      <c r="CB10" s="34">
        <v>1</v>
      </c>
      <c r="CE10" s="1" t="s">
        <v>8</v>
      </c>
      <c r="CF10" s="34">
        <v>1</v>
      </c>
      <c r="CI10" s="1" t="s">
        <v>8</v>
      </c>
      <c r="CJ10" s="34">
        <v>1</v>
      </c>
      <c r="CM10" s="1" t="s">
        <v>8</v>
      </c>
      <c r="CN10" s="22">
        <v>1</v>
      </c>
      <c r="CQ10" s="34">
        <v>1</v>
      </c>
      <c r="CR10" s="37">
        <v>1</v>
      </c>
      <c r="CS10" s="30">
        <v>1</v>
      </c>
      <c r="CT10" s="30">
        <v>1</v>
      </c>
      <c r="CU10" s="30">
        <v>1</v>
      </c>
      <c r="CV10">
        <v>1</v>
      </c>
      <c r="CW10" s="30">
        <v>1</v>
      </c>
      <c r="CX10" s="30">
        <v>1</v>
      </c>
      <c r="CY10" s="30">
        <v>1</v>
      </c>
      <c r="CZ10" s="30">
        <v>1</v>
      </c>
      <c r="DA10" s="30">
        <v>1</v>
      </c>
      <c r="DB10" s="30">
        <v>1</v>
      </c>
      <c r="DC10" s="30">
        <v>1</v>
      </c>
      <c r="DD10" s="37">
        <v>1</v>
      </c>
      <c r="DE10" s="30">
        <v>1</v>
      </c>
      <c r="DF10" s="30">
        <v>1</v>
      </c>
      <c r="DH10" s="30">
        <v>0.99966032608695699</v>
      </c>
      <c r="DI10" s="30">
        <v>0.99103669443375098</v>
      </c>
      <c r="DK10" s="30">
        <v>0.99966032608695699</v>
      </c>
      <c r="DL10" s="30">
        <v>0.99102525356914195</v>
      </c>
      <c r="DM10" s="30">
        <v>0.99966032608695699</v>
      </c>
      <c r="DN10" s="30">
        <v>0.99103943763728897</v>
      </c>
      <c r="DP10" s="30">
        <v>0.99422554347826098</v>
      </c>
      <c r="DQ10" s="30">
        <v>0.98013822570727305</v>
      </c>
      <c r="DT10" s="37">
        <v>0.99966032608695699</v>
      </c>
      <c r="DU10" s="37">
        <v>0.99101173130591103</v>
      </c>
      <c r="DX10" s="30">
        <v>0.99966032608695699</v>
      </c>
      <c r="DY10" s="30">
        <v>0.99100450814698304</v>
      </c>
      <c r="EA10" s="30">
        <v>0.99966032608695699</v>
      </c>
      <c r="EB10" s="30">
        <v>0.99098962264900703</v>
      </c>
      <c r="ED10">
        <v>1</v>
      </c>
      <c r="EE10">
        <v>0.97259248443512103</v>
      </c>
      <c r="EG10">
        <v>1</v>
      </c>
      <c r="EH10">
        <v>0.97936903842013201</v>
      </c>
      <c r="EJ10">
        <v>1</v>
      </c>
      <c r="EK10">
        <v>0.98062637615126402</v>
      </c>
      <c r="EM10">
        <v>1</v>
      </c>
      <c r="EN10">
        <v>0.98697089735031696</v>
      </c>
      <c r="EP10" s="30">
        <v>1</v>
      </c>
      <c r="EQ10" s="30">
        <v>0.98120140775147102</v>
      </c>
      <c r="ES10">
        <v>0.99966032608695699</v>
      </c>
      <c r="ET10">
        <v>0.98677944031337295</v>
      </c>
      <c r="EV10">
        <v>1</v>
      </c>
      <c r="EW10">
        <v>0.99112216107047002</v>
      </c>
      <c r="EY10">
        <v>1</v>
      </c>
      <c r="EZ10">
        <v>0.98107574603958903</v>
      </c>
      <c r="FB10" s="37">
        <v>1</v>
      </c>
      <c r="FC10" s="37">
        <v>0.98731953527120297</v>
      </c>
      <c r="FE10" s="30">
        <v>1</v>
      </c>
      <c r="FF10" s="30">
        <v>0.98715821196362497</v>
      </c>
      <c r="FH10" s="30">
        <v>1</v>
      </c>
      <c r="FI10" s="30">
        <v>0.987200142999201</v>
      </c>
      <c r="FL10" s="1" t="s">
        <v>8</v>
      </c>
      <c r="FM10" s="27">
        <v>1</v>
      </c>
      <c r="FN10" s="27">
        <v>1</v>
      </c>
      <c r="FP10" s="30">
        <v>1</v>
      </c>
      <c r="FQ10" s="30">
        <v>0.98705579582874203</v>
      </c>
      <c r="FS10" s="30">
        <v>1</v>
      </c>
      <c r="FT10" s="30">
        <v>0.98695380662916499</v>
      </c>
      <c r="FV10" s="30">
        <v>1</v>
      </c>
      <c r="FW10" s="30">
        <v>0.98732149263086999</v>
      </c>
      <c r="FY10" s="30">
        <v>1</v>
      </c>
      <c r="FZ10" s="30">
        <v>0.99120289313295296</v>
      </c>
      <c r="GB10" s="30">
        <v>0.99966032608695699</v>
      </c>
      <c r="GC10" s="30">
        <v>0.99109712361212499</v>
      </c>
      <c r="GE10" s="30">
        <v>1</v>
      </c>
      <c r="GF10" s="30">
        <v>0.98712552351773797</v>
      </c>
    </row>
    <row r="11" spans="1:188" x14ac:dyDescent="0.3">
      <c r="A11" s="1" t="s">
        <v>9</v>
      </c>
      <c r="B11" s="22">
        <v>0.99855699855699898</v>
      </c>
      <c r="D11" s="1" t="s">
        <v>9</v>
      </c>
      <c r="E11" s="22">
        <v>0.99783549783549796</v>
      </c>
      <c r="G11" s="1" t="s">
        <v>9</v>
      </c>
      <c r="H11" s="22">
        <v>0.99603174603174605</v>
      </c>
      <c r="J11" s="1" t="s">
        <v>9</v>
      </c>
      <c r="K11" s="22">
        <v>0.98124098124098103</v>
      </c>
      <c r="M11" s="1" t="s">
        <v>9</v>
      </c>
      <c r="N11" s="22">
        <v>0.98232323232323204</v>
      </c>
      <c r="P11" s="1" t="s">
        <v>9</v>
      </c>
      <c r="Q11" s="22">
        <v>0.98412698412698396</v>
      </c>
      <c r="S11" s="1" t="s">
        <v>9</v>
      </c>
      <c r="T11" s="22">
        <v>0.98412698412698396</v>
      </c>
      <c r="V11" s="1" t="s">
        <v>9</v>
      </c>
      <c r="W11" s="22">
        <v>0.98773448773448802</v>
      </c>
      <c r="Z11" s="1" t="s">
        <v>9</v>
      </c>
      <c r="AA11" s="22">
        <v>0.99025974025973995</v>
      </c>
      <c r="AD11" s="32" t="s">
        <v>9</v>
      </c>
      <c r="AE11" s="27">
        <v>0.99278499278499299</v>
      </c>
      <c r="AH11" s="1" t="s">
        <v>9</v>
      </c>
      <c r="AI11" s="22">
        <v>0.98953823953824005</v>
      </c>
      <c r="AL11" s="1" t="s">
        <v>9</v>
      </c>
      <c r="AM11" s="22">
        <v>0.98917748917748904</v>
      </c>
      <c r="AP11" s="1" t="s">
        <v>9</v>
      </c>
      <c r="AQ11" s="22">
        <v>0.99278499278499299</v>
      </c>
      <c r="AS11" s="30"/>
      <c r="AT11" s="1" t="s">
        <v>9</v>
      </c>
      <c r="AU11" s="22">
        <v>0.99531024531024503</v>
      </c>
      <c r="AX11" s="1" t="s">
        <v>9</v>
      </c>
      <c r="AY11" s="22">
        <v>0.99386724386724401</v>
      </c>
      <c r="BB11" s="1" t="s">
        <v>9</v>
      </c>
      <c r="BC11" s="22">
        <v>0.993506493506493</v>
      </c>
      <c r="BE11" s="30"/>
      <c r="BF11" s="1" t="s">
        <v>9</v>
      </c>
      <c r="BG11" s="22">
        <v>0.993506493506493</v>
      </c>
      <c r="BI11" s="30"/>
      <c r="BJ11" s="1" t="s">
        <v>9</v>
      </c>
      <c r="BK11" s="22">
        <v>0.993506493506493</v>
      </c>
      <c r="BM11" s="30"/>
      <c r="BN11" s="1" t="s">
        <v>9</v>
      </c>
      <c r="BO11" s="22">
        <v>0.986652236652237</v>
      </c>
      <c r="BR11" s="1" t="s">
        <v>9</v>
      </c>
      <c r="BS11" s="22">
        <v>0.98773448773448802</v>
      </c>
      <c r="BW11" s="1" t="s">
        <v>9</v>
      </c>
      <c r="BX11" s="22">
        <v>0.99278499278499299</v>
      </c>
      <c r="CA11" s="1" t="s">
        <v>9</v>
      </c>
      <c r="CB11" s="22">
        <v>0.98737373737373701</v>
      </c>
      <c r="CE11" s="1" t="s">
        <v>9</v>
      </c>
      <c r="CF11" s="22">
        <v>0.986652236652237</v>
      </c>
      <c r="CI11" s="1" t="s">
        <v>9</v>
      </c>
      <c r="CJ11" s="22">
        <v>0.98556998556998598</v>
      </c>
      <c r="CM11" s="1" t="s">
        <v>9</v>
      </c>
      <c r="CN11" s="22">
        <v>0.99567099567099604</v>
      </c>
      <c r="CQ11" s="22">
        <v>0.99278499278499299</v>
      </c>
      <c r="CR11" s="37">
        <v>0.98917748917748904</v>
      </c>
      <c r="CS11" s="30">
        <v>0.98448773448773397</v>
      </c>
      <c r="CT11" s="30">
        <v>0.986652236652237</v>
      </c>
      <c r="CU11" s="30">
        <v>0.99170274170274197</v>
      </c>
      <c r="CV11">
        <v>0.98809523809523803</v>
      </c>
      <c r="CW11" s="30">
        <v>0.98484848484848497</v>
      </c>
      <c r="CX11" s="30">
        <v>0.98520923520923498</v>
      </c>
      <c r="CY11" s="30">
        <v>0.99098124098124096</v>
      </c>
      <c r="CZ11" s="30">
        <v>0.99206349206349198</v>
      </c>
      <c r="DA11" s="30">
        <v>0.98232323232323204</v>
      </c>
      <c r="DB11" s="30">
        <v>0.98989898989898994</v>
      </c>
      <c r="DC11" s="30">
        <v>0.98917748917748904</v>
      </c>
      <c r="DD11" s="37">
        <v>0.98160173160173203</v>
      </c>
      <c r="DE11" s="30">
        <v>0.98196248196248204</v>
      </c>
      <c r="DF11" s="30">
        <v>0.98701298701298701</v>
      </c>
      <c r="DH11" s="30">
        <v>0.98917748917748904</v>
      </c>
      <c r="DI11" s="30">
        <v>0.93828862764931897</v>
      </c>
      <c r="DK11" s="30">
        <v>0.98701298701298701</v>
      </c>
      <c r="DL11" s="30">
        <v>0.93819132920399395</v>
      </c>
      <c r="DM11" s="30">
        <v>0.98989898989898994</v>
      </c>
      <c r="DN11" s="30">
        <v>0.93847065169717203</v>
      </c>
      <c r="DP11" s="30">
        <v>0.98520923520923498</v>
      </c>
      <c r="DQ11" s="30">
        <v>0.95269426878168395</v>
      </c>
      <c r="DT11" s="37">
        <v>0.98881673881673904</v>
      </c>
      <c r="DU11" s="37">
        <v>0.93892921958786801</v>
      </c>
      <c r="DX11" s="30">
        <v>0.99098124098124096</v>
      </c>
      <c r="DY11" s="30">
        <v>0.93892708168883499</v>
      </c>
      <c r="EA11" s="30">
        <v>0.98989898989898994</v>
      </c>
      <c r="EB11" s="30">
        <v>0.93881435620636799</v>
      </c>
      <c r="ED11">
        <v>0.98809523809523803</v>
      </c>
      <c r="EE11">
        <v>0.89524379823118605</v>
      </c>
      <c r="EG11">
        <v>0.97258297258297299</v>
      </c>
      <c r="EH11">
        <v>0.90010743603475396</v>
      </c>
      <c r="EJ11">
        <v>0.979437229437229</v>
      </c>
      <c r="EK11">
        <v>0.90228423888368603</v>
      </c>
      <c r="EM11">
        <v>0.98773448773448802</v>
      </c>
      <c r="EN11">
        <v>0.92785009712782796</v>
      </c>
      <c r="EP11" s="30">
        <v>0.98845598845598903</v>
      </c>
      <c r="EQ11" s="30">
        <v>0.93064589908792195</v>
      </c>
      <c r="ES11">
        <v>0.99278499278499299</v>
      </c>
      <c r="ET11">
        <v>0.93877529250453495</v>
      </c>
      <c r="EV11">
        <v>0.98448773448773497</v>
      </c>
      <c r="EW11">
        <v>0.92916738282710398</v>
      </c>
      <c r="EY11">
        <v>0.99025974025973995</v>
      </c>
      <c r="EZ11">
        <v>0.91666366663815002</v>
      </c>
      <c r="FB11" s="37">
        <v>0.98809523809523803</v>
      </c>
      <c r="FC11" s="37">
        <v>0.93695255323467996</v>
      </c>
      <c r="FE11" s="30">
        <v>0.98953823953824005</v>
      </c>
      <c r="FF11" s="30">
        <v>0.93712774845577895</v>
      </c>
      <c r="FH11" s="30">
        <v>0.99134199134199097</v>
      </c>
      <c r="FI11" s="30">
        <v>0.93762605373860597</v>
      </c>
      <c r="FL11" s="1" t="s">
        <v>9</v>
      </c>
      <c r="FM11" s="22">
        <v>0.998</v>
      </c>
      <c r="FN11" s="22">
        <v>0.99134199134199097</v>
      </c>
      <c r="FP11" s="30">
        <v>0.986291486291486</v>
      </c>
      <c r="FQ11" s="30">
        <v>0.93832604224849703</v>
      </c>
      <c r="FS11" s="30">
        <v>0.98881673881673904</v>
      </c>
      <c r="FT11" s="30">
        <v>0.93907257600925698</v>
      </c>
      <c r="FV11" s="30">
        <v>0.986652236652237</v>
      </c>
      <c r="FW11" s="30">
        <v>0.93641477391761596</v>
      </c>
      <c r="FY11" s="30">
        <v>0.98845598845598903</v>
      </c>
      <c r="FZ11" s="30">
        <v>0.94716494037591104</v>
      </c>
      <c r="GB11" s="30">
        <v>0.98160173160173203</v>
      </c>
      <c r="GC11" s="30">
        <v>0.95372516263269902</v>
      </c>
      <c r="GE11" s="30">
        <v>0.99134199134199097</v>
      </c>
      <c r="GF11" s="30">
        <v>0.9373630435068</v>
      </c>
    </row>
    <row r="12" spans="1:188" x14ac:dyDescent="0.3">
      <c r="A12" s="1" t="s">
        <v>10</v>
      </c>
      <c r="B12" s="22">
        <v>0.99210526315789505</v>
      </c>
      <c r="D12" s="1" t="s">
        <v>10</v>
      </c>
      <c r="E12" s="22">
        <v>0.99122807017543901</v>
      </c>
      <c r="G12" s="1" t="s">
        <v>10</v>
      </c>
      <c r="H12" s="22">
        <v>0.98947368421052595</v>
      </c>
      <c r="J12" s="1" t="s">
        <v>10</v>
      </c>
      <c r="K12" s="22">
        <v>0.98596491228070204</v>
      </c>
      <c r="M12" s="1" t="s">
        <v>10</v>
      </c>
      <c r="N12" s="22">
        <v>0.99561403508771895</v>
      </c>
      <c r="P12" s="1" t="s">
        <v>10</v>
      </c>
      <c r="Q12" s="22">
        <v>0.99122807017543901</v>
      </c>
      <c r="S12" s="1" t="s">
        <v>10</v>
      </c>
      <c r="T12" s="22">
        <v>0.99122807017543901</v>
      </c>
      <c r="V12" s="1" t="s">
        <v>10</v>
      </c>
      <c r="W12" s="22">
        <v>0.98947368421052595</v>
      </c>
      <c r="Z12" s="1" t="s">
        <v>10</v>
      </c>
      <c r="AA12" s="22">
        <v>0.99122807017543901</v>
      </c>
      <c r="AD12" s="32" t="s">
        <v>10</v>
      </c>
      <c r="AE12" s="27">
        <v>0.99210526315789505</v>
      </c>
      <c r="AH12" s="1" t="s">
        <v>10</v>
      </c>
      <c r="AI12" s="22">
        <v>0.99035087719298298</v>
      </c>
      <c r="AL12" s="1" t="s">
        <v>10</v>
      </c>
      <c r="AM12" s="22">
        <v>0.99298245614035097</v>
      </c>
      <c r="AP12" s="1" t="s">
        <v>10</v>
      </c>
      <c r="AQ12" s="22">
        <v>0.99298245614035097</v>
      </c>
      <c r="AS12" s="30"/>
      <c r="AT12" s="1" t="s">
        <v>10</v>
      </c>
      <c r="AU12" s="22">
        <v>0.99473684210526303</v>
      </c>
      <c r="AX12" s="1" t="s">
        <v>10</v>
      </c>
      <c r="AY12" s="22">
        <v>0.99122807017543901</v>
      </c>
      <c r="BB12" s="1" t="s">
        <v>10</v>
      </c>
      <c r="BC12" s="22">
        <v>0.98947368421052595</v>
      </c>
      <c r="BE12" s="30"/>
      <c r="BF12" s="1" t="s">
        <v>10</v>
      </c>
      <c r="BG12" s="22">
        <v>0.98947368421052595</v>
      </c>
      <c r="BI12" s="30"/>
      <c r="BJ12" s="1" t="s">
        <v>10</v>
      </c>
      <c r="BK12" s="22">
        <v>0.99298245614035097</v>
      </c>
      <c r="BM12" s="30"/>
      <c r="BN12" s="1" t="s">
        <v>10</v>
      </c>
      <c r="BO12" s="22">
        <v>0.99473684210526303</v>
      </c>
      <c r="BR12" s="1" t="s">
        <v>10</v>
      </c>
      <c r="BS12" s="22">
        <v>0.98947368421052595</v>
      </c>
      <c r="BW12" s="1" t="s">
        <v>10</v>
      </c>
      <c r="BX12" s="22">
        <v>0.98859649122807003</v>
      </c>
      <c r="CA12" s="1" t="s">
        <v>10</v>
      </c>
      <c r="CB12" s="22">
        <v>0.99122807017543901</v>
      </c>
      <c r="CE12" s="1" t="s">
        <v>10</v>
      </c>
      <c r="CF12" s="22">
        <v>0.98947368421052595</v>
      </c>
      <c r="CI12" s="1" t="s">
        <v>10</v>
      </c>
      <c r="CJ12" s="22">
        <v>0.98859649122807003</v>
      </c>
      <c r="CM12" s="1" t="s">
        <v>10</v>
      </c>
      <c r="CN12" s="22">
        <v>0.99035087719298198</v>
      </c>
      <c r="CQ12" s="22">
        <v>0.98859649122807003</v>
      </c>
      <c r="CR12" s="37">
        <v>0.99122807017543901</v>
      </c>
      <c r="CS12" s="30">
        <v>0.99035087719298298</v>
      </c>
      <c r="CT12" s="30">
        <v>0.99035087719298198</v>
      </c>
      <c r="CU12" s="30">
        <v>0.99122807017543901</v>
      </c>
      <c r="CV12">
        <v>0.993859649122807</v>
      </c>
      <c r="CW12" s="30">
        <v>0.99122807017543901</v>
      </c>
      <c r="CX12" s="30">
        <v>0.98859649122807003</v>
      </c>
      <c r="CY12" s="30">
        <v>0.99298245614035097</v>
      </c>
      <c r="CZ12" s="30">
        <v>0.99473684210526303</v>
      </c>
      <c r="DA12" s="30">
        <v>0.99122807017543901</v>
      </c>
      <c r="DB12" s="30">
        <v>0.99122807017543901</v>
      </c>
      <c r="DC12" s="30">
        <v>0.98947368421052595</v>
      </c>
      <c r="DD12" s="37">
        <v>0.99473684210526303</v>
      </c>
      <c r="DE12" s="30">
        <v>0.99210526315789505</v>
      </c>
      <c r="DF12" s="30">
        <v>0.99298245614035097</v>
      </c>
      <c r="DH12" s="30">
        <v>0.99736842105263201</v>
      </c>
      <c r="DI12" s="30">
        <v>0.95358678851318401</v>
      </c>
      <c r="DK12" s="30">
        <v>0.99561403508771895</v>
      </c>
      <c r="DL12" s="30">
        <v>0.953841439383877</v>
      </c>
      <c r="DM12" s="30">
        <v>0.99561403508771895</v>
      </c>
      <c r="DN12" s="30">
        <v>0.95391253706752499</v>
      </c>
      <c r="DP12" s="30">
        <v>0.99649122807017498</v>
      </c>
      <c r="DQ12" s="30">
        <v>0.94533741523497905</v>
      </c>
      <c r="DT12" s="37">
        <v>0.99736842105263201</v>
      </c>
      <c r="DU12" s="37">
        <v>0.95348573645626999</v>
      </c>
      <c r="DX12" s="30">
        <v>0.99561403508771895</v>
      </c>
      <c r="DY12" s="30">
        <v>0.953658982102223</v>
      </c>
      <c r="EA12" s="30">
        <v>0.99473684210526303</v>
      </c>
      <c r="EB12" s="30">
        <v>0.95361027689678202</v>
      </c>
      <c r="ED12">
        <v>0.99122807017543901</v>
      </c>
      <c r="EE12">
        <v>0.89112075084775599</v>
      </c>
      <c r="EG12">
        <v>0.98859649122807003</v>
      </c>
      <c r="EH12">
        <v>0.90725673191128398</v>
      </c>
      <c r="EJ12">
        <v>0.98596491228070204</v>
      </c>
      <c r="EK12">
        <v>0.914821833309448</v>
      </c>
      <c r="EM12">
        <v>0.98684210526315796</v>
      </c>
      <c r="EN12">
        <v>0.93091510604190997</v>
      </c>
      <c r="EP12" s="30">
        <v>0.993859649122807</v>
      </c>
      <c r="EQ12" s="30">
        <v>0.92784133725266305</v>
      </c>
      <c r="ES12">
        <v>0.99649122807017498</v>
      </c>
      <c r="ET12">
        <v>0.93790333013995897</v>
      </c>
      <c r="EV12">
        <v>0.98859649122807003</v>
      </c>
      <c r="EW12">
        <v>0.94863947254798098</v>
      </c>
      <c r="EY12">
        <v>0.99210526315789505</v>
      </c>
      <c r="EZ12">
        <v>0.91827778524798798</v>
      </c>
      <c r="FB12" s="37">
        <v>0.99210526315789505</v>
      </c>
      <c r="FC12" s="37">
        <v>0.94128178989183298</v>
      </c>
      <c r="FE12" s="30">
        <v>0.99298245614035097</v>
      </c>
      <c r="FF12" s="30">
        <v>0.940466016625218</v>
      </c>
      <c r="FH12" s="30">
        <v>0.99298245614035097</v>
      </c>
      <c r="FI12" s="30">
        <v>0.94047537209121002</v>
      </c>
      <c r="FL12" s="1" t="s">
        <v>10</v>
      </c>
      <c r="FM12" s="22">
        <v>1</v>
      </c>
      <c r="FN12" s="22">
        <v>0.99298245614035097</v>
      </c>
      <c r="FP12" s="30">
        <v>0.99298245614035097</v>
      </c>
      <c r="FQ12" s="30">
        <v>0.93784992377078902</v>
      </c>
      <c r="FS12" s="30">
        <v>0.99298245614035097</v>
      </c>
      <c r="FT12" s="30">
        <v>0.93560372856382401</v>
      </c>
      <c r="FV12" s="30">
        <v>0.99473684210526303</v>
      </c>
      <c r="FW12" s="30">
        <v>0.94251827924286902</v>
      </c>
      <c r="FY12" s="30">
        <v>0.99473684210526303</v>
      </c>
      <c r="FZ12" s="30">
        <v>0.94915222353855899</v>
      </c>
      <c r="GB12" s="30">
        <v>0.993859649122807</v>
      </c>
      <c r="GC12" s="30">
        <v>0.95300777456888197</v>
      </c>
      <c r="GE12" s="30">
        <v>0.99298245614035097</v>
      </c>
      <c r="GF12" s="30">
        <v>0.940172999480266</v>
      </c>
    </row>
    <row r="13" spans="1:188" x14ac:dyDescent="0.3">
      <c r="A13" s="1" t="s">
        <v>11</v>
      </c>
      <c r="B13" s="22">
        <v>0.99841269841269797</v>
      </c>
      <c r="D13" s="1" t="s">
        <v>11</v>
      </c>
      <c r="E13" s="22">
        <v>0.99761904761904796</v>
      </c>
      <c r="G13" s="1" t="s">
        <v>11</v>
      </c>
      <c r="H13" s="22">
        <v>0.99603174603174605</v>
      </c>
      <c r="J13" s="1" t="s">
        <v>11</v>
      </c>
      <c r="K13" s="22">
        <v>0.99841269841269797</v>
      </c>
      <c r="M13" s="1" t="s">
        <v>11</v>
      </c>
      <c r="N13" s="22">
        <v>0.99841269841269797</v>
      </c>
      <c r="P13" s="1" t="s">
        <v>11</v>
      </c>
      <c r="Q13" s="22">
        <v>1</v>
      </c>
      <c r="S13" s="1" t="s">
        <v>11</v>
      </c>
      <c r="T13" s="22">
        <v>1</v>
      </c>
      <c r="V13" s="1" t="s">
        <v>11</v>
      </c>
      <c r="W13" s="22">
        <v>1</v>
      </c>
      <c r="Z13" s="1" t="s">
        <v>11</v>
      </c>
      <c r="AA13" s="22">
        <v>1</v>
      </c>
      <c r="AD13" s="32" t="s">
        <v>11</v>
      </c>
      <c r="AE13" s="27">
        <v>1</v>
      </c>
      <c r="AH13" s="1" t="s">
        <v>11</v>
      </c>
      <c r="AI13" s="22">
        <v>1</v>
      </c>
      <c r="AL13" s="1" t="s">
        <v>11</v>
      </c>
      <c r="AM13" s="22">
        <v>1</v>
      </c>
      <c r="AP13" s="1" t="s">
        <v>11</v>
      </c>
      <c r="AQ13" s="22">
        <v>1</v>
      </c>
      <c r="AS13" s="30"/>
      <c r="AT13" s="1" t="s">
        <v>11</v>
      </c>
      <c r="AU13" s="22">
        <v>1</v>
      </c>
      <c r="AX13" s="1" t="s">
        <v>11</v>
      </c>
      <c r="AY13" s="22">
        <v>1</v>
      </c>
      <c r="BB13" s="1" t="s">
        <v>11</v>
      </c>
      <c r="BC13" s="22">
        <v>1</v>
      </c>
      <c r="BE13" s="30"/>
      <c r="BF13" s="1" t="s">
        <v>11</v>
      </c>
      <c r="BG13" s="22">
        <v>1</v>
      </c>
      <c r="BI13" s="30"/>
      <c r="BJ13" s="1" t="s">
        <v>11</v>
      </c>
      <c r="BK13" s="22">
        <v>1</v>
      </c>
      <c r="BM13" s="30"/>
      <c r="BN13" s="1" t="s">
        <v>11</v>
      </c>
      <c r="BO13" s="22">
        <v>1</v>
      </c>
      <c r="BR13" s="1" t="s">
        <v>11</v>
      </c>
      <c r="BS13" s="22">
        <v>1</v>
      </c>
      <c r="BW13" s="1" t="s">
        <v>11</v>
      </c>
      <c r="BX13" s="34">
        <v>1</v>
      </c>
      <c r="CA13" s="1" t="s">
        <v>11</v>
      </c>
      <c r="CB13" s="34">
        <v>1</v>
      </c>
      <c r="CE13" s="1" t="s">
        <v>11</v>
      </c>
      <c r="CF13" s="34">
        <v>1</v>
      </c>
      <c r="CI13" s="1" t="s">
        <v>11</v>
      </c>
      <c r="CJ13" s="34">
        <v>1</v>
      </c>
      <c r="CM13" s="1" t="s">
        <v>11</v>
      </c>
      <c r="CN13" s="22">
        <v>0.99841269841269797</v>
      </c>
      <c r="CO13" s="30"/>
      <c r="CQ13" s="34">
        <v>1</v>
      </c>
      <c r="CR13" s="37">
        <v>1</v>
      </c>
      <c r="CS13" s="30">
        <v>1</v>
      </c>
      <c r="CT13" s="30">
        <v>1</v>
      </c>
      <c r="CU13" s="30">
        <v>1</v>
      </c>
      <c r="CV13">
        <v>1</v>
      </c>
      <c r="CW13" s="30">
        <v>1</v>
      </c>
      <c r="CX13" s="30">
        <v>1</v>
      </c>
      <c r="CY13" s="30">
        <v>1</v>
      </c>
      <c r="CZ13" s="30">
        <v>1</v>
      </c>
      <c r="DA13" s="30">
        <v>1</v>
      </c>
      <c r="DB13" s="30">
        <v>0.99920634920634899</v>
      </c>
      <c r="DC13" s="30">
        <v>0.99841269841269797</v>
      </c>
      <c r="DD13" s="37">
        <v>1</v>
      </c>
      <c r="DE13" s="30">
        <v>0.99920634920634899</v>
      </c>
      <c r="DF13" s="30">
        <v>1</v>
      </c>
      <c r="DH13" s="30">
        <v>1</v>
      </c>
      <c r="DI13" s="30">
        <v>0.98388589425948303</v>
      </c>
      <c r="DK13" s="30">
        <v>1</v>
      </c>
      <c r="DL13" s="30">
        <v>0.98389056483655601</v>
      </c>
      <c r="DM13" s="30">
        <v>1</v>
      </c>
      <c r="DN13" s="30">
        <v>0.98385657945289795</v>
      </c>
      <c r="DP13" s="30">
        <v>1</v>
      </c>
      <c r="DQ13" s="30">
        <v>0.98133709853520301</v>
      </c>
      <c r="DT13" s="37">
        <v>1</v>
      </c>
      <c r="DU13" s="37">
        <v>0.98397477147925805</v>
      </c>
      <c r="DX13" s="30">
        <v>1</v>
      </c>
      <c r="DY13" s="30">
        <v>0.98395325530230304</v>
      </c>
      <c r="EA13" s="30">
        <v>1</v>
      </c>
      <c r="EB13" s="30">
        <v>0.98400991116702696</v>
      </c>
      <c r="ED13">
        <v>1</v>
      </c>
      <c r="EE13">
        <v>0.95737430531359602</v>
      </c>
      <c r="EG13">
        <v>1</v>
      </c>
      <c r="EH13">
        <v>0.96827566659904596</v>
      </c>
      <c r="EJ13">
        <v>1</v>
      </c>
      <c r="EK13">
        <v>0.97238067920178395</v>
      </c>
      <c r="EM13">
        <v>1</v>
      </c>
      <c r="EN13">
        <v>0.97702479190542602</v>
      </c>
      <c r="EP13" s="30">
        <v>1</v>
      </c>
      <c r="EQ13" s="30">
        <v>0.97651197995669103</v>
      </c>
      <c r="ES13">
        <v>1</v>
      </c>
      <c r="ET13">
        <v>0.97928210748627897</v>
      </c>
      <c r="EV13">
        <v>1</v>
      </c>
      <c r="EW13">
        <v>0.98248062363567401</v>
      </c>
      <c r="EY13">
        <v>1</v>
      </c>
      <c r="EZ13">
        <v>0.97445890458383</v>
      </c>
      <c r="FB13" s="37">
        <v>1</v>
      </c>
      <c r="FC13" s="37">
        <v>0.98004641982280605</v>
      </c>
      <c r="FE13" s="30">
        <v>1</v>
      </c>
      <c r="FF13" s="30">
        <v>0.98024810737312196</v>
      </c>
      <c r="FH13" s="30">
        <v>1</v>
      </c>
      <c r="FI13" s="30">
        <v>0.98027912952317398</v>
      </c>
      <c r="FL13" s="1" t="s">
        <v>11</v>
      </c>
      <c r="FM13" s="27">
        <v>1</v>
      </c>
      <c r="FN13" s="27">
        <v>1</v>
      </c>
      <c r="FP13" s="30">
        <v>1</v>
      </c>
      <c r="FQ13" s="30">
        <v>0.98004424952504499</v>
      </c>
      <c r="FS13" s="30">
        <v>1</v>
      </c>
      <c r="FT13" s="30">
        <v>0.97989577672288297</v>
      </c>
      <c r="FV13" s="30">
        <v>1</v>
      </c>
      <c r="FW13" s="30">
        <v>0.98045643690670903</v>
      </c>
      <c r="FY13" s="30">
        <v>1</v>
      </c>
      <c r="FZ13" s="30">
        <v>0.98402902609508802</v>
      </c>
      <c r="GB13" s="30">
        <v>1</v>
      </c>
      <c r="GC13" s="30">
        <v>0.98223729378374902</v>
      </c>
      <c r="GE13" s="30">
        <v>1</v>
      </c>
      <c r="GF13" s="30">
        <v>0.98023438207573799</v>
      </c>
    </row>
    <row r="14" spans="1:188" x14ac:dyDescent="0.3">
      <c r="A14" s="1" t="s">
        <v>12</v>
      </c>
      <c r="B14" s="22">
        <v>0.955209895052474</v>
      </c>
      <c r="D14" s="1" t="s">
        <v>12</v>
      </c>
      <c r="E14" s="22">
        <v>0.94733883058470802</v>
      </c>
      <c r="G14" s="1" t="s">
        <v>12</v>
      </c>
      <c r="H14" s="22">
        <v>0.94846326836581696</v>
      </c>
      <c r="J14" s="1" t="s">
        <v>12</v>
      </c>
      <c r="K14" s="22">
        <v>0.95745877061469298</v>
      </c>
      <c r="M14" s="1" t="s">
        <v>12</v>
      </c>
      <c r="N14" s="22">
        <v>0.95352323838080999</v>
      </c>
      <c r="P14" s="1" t="s">
        <v>12</v>
      </c>
      <c r="Q14" s="22">
        <v>0.98781859070464795</v>
      </c>
      <c r="S14" s="1" t="s">
        <v>12</v>
      </c>
      <c r="T14" s="22">
        <v>0.98781859070464795</v>
      </c>
      <c r="V14" s="1" t="s">
        <v>12</v>
      </c>
      <c r="W14" s="22">
        <v>0.98688155922039</v>
      </c>
      <c r="Z14" s="1" t="s">
        <v>12</v>
      </c>
      <c r="AA14" s="22">
        <v>0.98519490254872599</v>
      </c>
      <c r="AD14" s="32" t="s">
        <v>12</v>
      </c>
      <c r="AE14" s="27">
        <v>0.98463268365817103</v>
      </c>
      <c r="AH14" s="1" t="s">
        <v>12</v>
      </c>
      <c r="AI14" s="22">
        <v>0.98781859070464795</v>
      </c>
      <c r="AL14" s="1" t="s">
        <v>12</v>
      </c>
      <c r="AM14" s="22">
        <v>0.97957271364317799</v>
      </c>
      <c r="AP14" s="1" t="s">
        <v>12</v>
      </c>
      <c r="AQ14" s="22">
        <v>0.98575712143927996</v>
      </c>
      <c r="AS14" s="30"/>
      <c r="AT14" s="1" t="s">
        <v>12</v>
      </c>
      <c r="AU14" s="22">
        <v>0.98856821589205401</v>
      </c>
      <c r="AX14" s="1" t="s">
        <v>12</v>
      </c>
      <c r="AY14" s="22">
        <v>0.98350824587706098</v>
      </c>
      <c r="BB14" s="1" t="s">
        <v>12</v>
      </c>
      <c r="BC14" s="22">
        <v>0.98350824587706098</v>
      </c>
      <c r="BE14" s="30"/>
      <c r="BF14" s="1" t="s">
        <v>12</v>
      </c>
      <c r="BG14" s="22">
        <v>0.98050974512743605</v>
      </c>
      <c r="BI14" s="30"/>
      <c r="BJ14" s="1" t="s">
        <v>12</v>
      </c>
      <c r="BK14" s="22">
        <v>0.97676161919040505</v>
      </c>
      <c r="BM14" s="30"/>
      <c r="BN14" s="1" t="s">
        <v>12</v>
      </c>
      <c r="BO14" s="22">
        <v>0.97226386806596699</v>
      </c>
      <c r="BR14" s="1" t="s">
        <v>12</v>
      </c>
      <c r="BS14" s="22">
        <v>0.98556971514242897</v>
      </c>
      <c r="BW14" s="1" t="s">
        <v>12</v>
      </c>
      <c r="BX14" s="22">
        <v>0.96851574212893599</v>
      </c>
      <c r="CA14" s="1" t="s">
        <v>12</v>
      </c>
      <c r="CB14" s="22">
        <v>0.97638680659670196</v>
      </c>
      <c r="CE14" s="1" t="s">
        <v>12</v>
      </c>
      <c r="CF14" s="22">
        <v>0.97657421289355295</v>
      </c>
      <c r="CI14" s="1" t="s">
        <v>12</v>
      </c>
      <c r="CJ14" s="22">
        <v>0.97563718140929501</v>
      </c>
      <c r="CM14" s="1" t="s">
        <v>12</v>
      </c>
      <c r="CN14" s="22">
        <v>0.98350824587706098</v>
      </c>
      <c r="CO14" s="30"/>
      <c r="CQ14" s="22">
        <v>0.96851574212893599</v>
      </c>
      <c r="CR14" s="37">
        <v>0.97676161919040505</v>
      </c>
      <c r="CS14" s="30">
        <v>0.97057721139430297</v>
      </c>
      <c r="CT14" s="30">
        <v>0.97470014992503795</v>
      </c>
      <c r="CU14" s="30">
        <v>0.97076461769115396</v>
      </c>
      <c r="CV14">
        <v>0.97676161919040505</v>
      </c>
      <c r="CW14" s="30">
        <v>0.98238380809595205</v>
      </c>
      <c r="CX14" s="30">
        <v>0.97413793103448298</v>
      </c>
      <c r="CY14" s="30">
        <v>0.97863568215892105</v>
      </c>
      <c r="CZ14" s="30">
        <v>0.98219640179910095</v>
      </c>
      <c r="DA14" s="30">
        <v>0.98219640179910095</v>
      </c>
      <c r="DB14" s="30">
        <v>0.98032233883058495</v>
      </c>
      <c r="DC14" s="30">
        <v>0.97994752623688197</v>
      </c>
      <c r="DD14" s="37">
        <v>0.98688155922039</v>
      </c>
      <c r="DE14" s="30">
        <v>0.98332083958020999</v>
      </c>
      <c r="DF14" s="30">
        <v>0.97170164917541202</v>
      </c>
      <c r="DH14" s="30">
        <v>0.96326836581709196</v>
      </c>
      <c r="DI14" s="30">
        <v>0.97246921773040895</v>
      </c>
      <c r="DK14" s="30">
        <v>0.96589205397301303</v>
      </c>
      <c r="DL14" s="30">
        <v>0.97259211340475105</v>
      </c>
      <c r="DM14" s="30">
        <v>0.96251874062968501</v>
      </c>
      <c r="DN14" s="30">
        <v>0.97248565932571995</v>
      </c>
      <c r="DP14" s="30">
        <v>0.96420539730134902</v>
      </c>
      <c r="DQ14" s="30">
        <v>0.97775259823550098</v>
      </c>
      <c r="DT14" s="37">
        <v>0.96439280359820101</v>
      </c>
      <c r="DU14" s="37">
        <v>0.97263808276131303</v>
      </c>
      <c r="DX14" s="30">
        <v>0.96532983508245895</v>
      </c>
      <c r="DY14" s="30">
        <v>0.97266596468463495</v>
      </c>
      <c r="EA14" s="30">
        <v>0.96420539730134902</v>
      </c>
      <c r="EB14" s="30">
        <v>0.97271492719534003</v>
      </c>
      <c r="ED14">
        <v>0.98613193403298405</v>
      </c>
      <c r="EE14">
        <v>0.957244595176998</v>
      </c>
      <c r="EG14">
        <v>0.96383058470764604</v>
      </c>
      <c r="EH14">
        <v>0.95905105936833401</v>
      </c>
      <c r="EJ14">
        <v>0.97057721139430297</v>
      </c>
      <c r="EK14">
        <v>0.96466028529972803</v>
      </c>
      <c r="EM14">
        <v>0.96607946026986502</v>
      </c>
      <c r="EN14">
        <v>0.97074579277758799</v>
      </c>
      <c r="EP14" s="30">
        <v>0.97132683658170904</v>
      </c>
      <c r="EQ14" s="30">
        <v>0.97382142884595002</v>
      </c>
      <c r="ES14">
        <v>0.97788605697151398</v>
      </c>
      <c r="ET14">
        <v>0.97533480059237299</v>
      </c>
      <c r="EV14">
        <v>0.95858320839580202</v>
      </c>
      <c r="EW14">
        <v>0.96598275906463205</v>
      </c>
      <c r="EY14">
        <v>0.95670914542728602</v>
      </c>
      <c r="EZ14">
        <v>0.96794005604314404</v>
      </c>
      <c r="FB14" s="37">
        <v>0.97544977511244402</v>
      </c>
      <c r="FC14" s="37">
        <v>0.97497464116690202</v>
      </c>
      <c r="FE14" s="30">
        <v>0.97338830584707703</v>
      </c>
      <c r="FF14" s="30">
        <v>0.97499479690342294</v>
      </c>
      <c r="FH14" s="30">
        <v>0.97095202398800595</v>
      </c>
      <c r="FI14" s="30">
        <v>0.97492056972701302</v>
      </c>
      <c r="FL14" s="1" t="s">
        <v>12</v>
      </c>
      <c r="FM14" s="22">
        <v>0.999</v>
      </c>
      <c r="FN14" s="22">
        <v>0.97095202398800595</v>
      </c>
      <c r="FP14" s="30">
        <v>0.97076461769115396</v>
      </c>
      <c r="FQ14" s="30">
        <v>0.97458430059034595</v>
      </c>
      <c r="FS14" s="30">
        <v>0.9702023988006</v>
      </c>
      <c r="FT14" s="30">
        <v>0.974530020844947</v>
      </c>
      <c r="FV14" s="30">
        <v>0.97170164917541202</v>
      </c>
      <c r="FW14" s="30">
        <v>0.97485147478507295</v>
      </c>
      <c r="FY14" s="30">
        <v>0.96289355322338799</v>
      </c>
      <c r="FZ14" s="30">
        <v>0.97594445416090503</v>
      </c>
      <c r="GB14" s="30">
        <v>0.95727136431784099</v>
      </c>
      <c r="GC14" s="30">
        <v>0.97219975625742505</v>
      </c>
      <c r="GE14" s="30">
        <v>0.9702023988006</v>
      </c>
      <c r="GF14" s="30">
        <v>0.974879679602215</v>
      </c>
    </row>
    <row r="15" spans="1:188" x14ac:dyDescent="0.3">
      <c r="A15" s="1" t="s">
        <v>13</v>
      </c>
      <c r="B15" s="22">
        <v>0.93458316713203005</v>
      </c>
      <c r="D15" s="1" t="s">
        <v>13</v>
      </c>
      <c r="E15" s="22">
        <v>0.92780215396888699</v>
      </c>
      <c r="G15" s="1" t="s">
        <v>13</v>
      </c>
      <c r="H15" s="22">
        <v>0.92939768647786203</v>
      </c>
      <c r="J15" s="1" t="s">
        <v>13</v>
      </c>
      <c r="K15" s="22">
        <v>0.91583566015157603</v>
      </c>
      <c r="M15" s="1" t="s">
        <v>13</v>
      </c>
      <c r="N15" s="22">
        <v>0.90985241324291999</v>
      </c>
      <c r="P15" s="1" t="s">
        <v>13</v>
      </c>
      <c r="Q15" s="22">
        <v>0.93418428400478704</v>
      </c>
      <c r="S15" s="1" t="s">
        <v>13</v>
      </c>
      <c r="T15" s="22">
        <v>0.93418428400478704</v>
      </c>
      <c r="V15" s="1" t="s">
        <v>13</v>
      </c>
      <c r="W15" s="22">
        <v>0.91743119266054995</v>
      </c>
      <c r="Z15" s="1" t="s">
        <v>13</v>
      </c>
      <c r="AA15" s="22">
        <v>0.92301555644196198</v>
      </c>
      <c r="AD15" s="32" t="s">
        <v>13</v>
      </c>
      <c r="AE15" s="27">
        <v>0.92301555644196198</v>
      </c>
      <c r="AH15" s="1" t="s">
        <v>13</v>
      </c>
      <c r="AI15" s="22">
        <v>0.919425608296769</v>
      </c>
      <c r="AL15" s="1" t="s">
        <v>13</v>
      </c>
      <c r="AM15" s="22">
        <v>0.901475867570802</v>
      </c>
      <c r="AP15" s="1" t="s">
        <v>13</v>
      </c>
      <c r="AQ15" s="22">
        <v>0.92102114080574404</v>
      </c>
      <c r="AS15" s="30"/>
      <c r="AT15" s="1" t="s">
        <v>13</v>
      </c>
      <c r="AU15" s="22">
        <v>0.92780215396888699</v>
      </c>
      <c r="AX15" s="1" t="s">
        <v>13</v>
      </c>
      <c r="AY15" s="22">
        <v>0.92381332269645</v>
      </c>
      <c r="BB15" s="1" t="s">
        <v>13</v>
      </c>
      <c r="BC15" s="22">
        <v>0.92500997207818103</v>
      </c>
      <c r="BE15" s="30"/>
      <c r="BF15" s="1" t="s">
        <v>13</v>
      </c>
      <c r="BG15" s="22">
        <v>0.93059433585959295</v>
      </c>
      <c r="BI15" s="30"/>
      <c r="BJ15" s="1" t="s">
        <v>13</v>
      </c>
      <c r="BK15" s="22">
        <v>0.93099321898683696</v>
      </c>
      <c r="BM15" s="30"/>
      <c r="BN15" s="1" t="s">
        <v>13</v>
      </c>
      <c r="BO15" s="22">
        <v>0.92939768647786203</v>
      </c>
      <c r="BR15" s="1" t="s">
        <v>13</v>
      </c>
      <c r="BS15" s="22">
        <v>0.92500997207818103</v>
      </c>
      <c r="BW15" s="1" t="s">
        <v>13</v>
      </c>
      <c r="BX15" s="22">
        <v>0.93458316713203005</v>
      </c>
      <c r="CA15" s="1" t="s">
        <v>13</v>
      </c>
      <c r="CB15" s="22">
        <v>0.93617869964100497</v>
      </c>
      <c r="CE15" s="1" t="s">
        <v>13</v>
      </c>
      <c r="CF15" s="22">
        <v>0.94096529716792998</v>
      </c>
      <c r="CI15" s="1" t="s">
        <v>13</v>
      </c>
      <c r="CJ15" s="22">
        <v>0.93538093338651795</v>
      </c>
      <c r="CM15" s="1" t="s">
        <v>13</v>
      </c>
      <c r="CN15" s="22">
        <v>0.92221779018747496</v>
      </c>
      <c r="CO15" s="30"/>
      <c r="CQ15" s="22">
        <v>0.93458316713203005</v>
      </c>
      <c r="CR15" s="37">
        <v>0.96250498603909096</v>
      </c>
      <c r="CS15" s="30">
        <v>0.94375747905863605</v>
      </c>
      <c r="CT15" s="30">
        <v>0.97207818109293997</v>
      </c>
      <c r="CU15" s="30">
        <v>0.95891503789389698</v>
      </c>
      <c r="CV15">
        <v>0.95692062225767904</v>
      </c>
      <c r="CW15" s="30">
        <v>0.94495412844036697</v>
      </c>
      <c r="CX15" s="30">
        <v>0.97606701236537696</v>
      </c>
      <c r="CY15" s="30">
        <v>0.97646589549262097</v>
      </c>
      <c r="CZ15" s="30">
        <v>0.97008376545672104</v>
      </c>
      <c r="DA15" s="30">
        <v>0.99042680494615098</v>
      </c>
      <c r="DB15" s="30">
        <v>0.92660550458715596</v>
      </c>
      <c r="DC15" s="30">
        <v>0.97088153171120894</v>
      </c>
      <c r="DD15" s="37">
        <v>0.98923015556441996</v>
      </c>
      <c r="DE15" s="30">
        <v>0.93458316713203005</v>
      </c>
      <c r="DF15" s="30">
        <v>0.92939768647786203</v>
      </c>
      <c r="DH15" s="30">
        <v>0.93936976465895505</v>
      </c>
      <c r="DI15" s="30">
        <v>0.98533680547859503</v>
      </c>
      <c r="DK15" s="30">
        <v>0.93817311527722402</v>
      </c>
      <c r="DL15" s="30">
        <v>0.98532640807881999</v>
      </c>
      <c r="DM15" s="30">
        <v>0.93817311527722402</v>
      </c>
      <c r="DN15" s="30">
        <v>0.98521855269234504</v>
      </c>
      <c r="DP15" s="30">
        <v>0.92181890706023095</v>
      </c>
      <c r="DQ15" s="30">
        <v>0.97931626853568898</v>
      </c>
      <c r="DT15" s="37">
        <v>0.96210610291184695</v>
      </c>
      <c r="DU15" s="37">
        <v>0.985540852265125</v>
      </c>
      <c r="DX15" s="30">
        <v>0.93657758276824898</v>
      </c>
      <c r="DY15" s="30">
        <v>0.98547852555456406</v>
      </c>
      <c r="EA15" s="30">
        <v>0.950538492221779</v>
      </c>
      <c r="EB15" s="30">
        <v>0.98549978955483497</v>
      </c>
      <c r="ED15">
        <v>0.93059433585959295</v>
      </c>
      <c r="EE15">
        <v>0.96531175819265103</v>
      </c>
      <c r="EG15">
        <v>0.91264459513362595</v>
      </c>
      <c r="EH15">
        <v>0.97604713435470103</v>
      </c>
      <c r="EJ15">
        <v>0.93298763462305601</v>
      </c>
      <c r="EK15">
        <v>0.97782605770085196</v>
      </c>
      <c r="EM15">
        <v>0.92341443956920599</v>
      </c>
      <c r="EN15">
        <v>0.98176224209116403</v>
      </c>
      <c r="EP15" s="30">
        <v>0.95333067411248495</v>
      </c>
      <c r="EQ15" s="30">
        <v>0.98137449822917999</v>
      </c>
      <c r="ES15">
        <v>0.95652173913043503</v>
      </c>
      <c r="ET15">
        <v>0.98308181699166597</v>
      </c>
      <c r="EV15">
        <v>0.94734742720382903</v>
      </c>
      <c r="EW15">
        <v>0.98206881580265903</v>
      </c>
      <c r="EY15">
        <v>0.92939768647786203</v>
      </c>
      <c r="EZ15">
        <v>0.98009593624533797</v>
      </c>
      <c r="FB15" s="37">
        <v>0.96449940167530901</v>
      </c>
      <c r="FC15" s="37">
        <v>0.98372370113065799</v>
      </c>
      <c r="FE15" s="30">
        <v>0.97566812923813295</v>
      </c>
      <c r="FF15" s="30">
        <v>0.98379005802892205</v>
      </c>
      <c r="FH15" s="30">
        <v>0.98883127243717595</v>
      </c>
      <c r="FI15" s="30">
        <v>0.98362619990606204</v>
      </c>
      <c r="FL15" s="1" t="s">
        <v>13</v>
      </c>
      <c r="FM15" s="22">
        <v>0.97699999999999998</v>
      </c>
      <c r="FN15" s="27">
        <v>0.98883127243717595</v>
      </c>
      <c r="FP15" s="37">
        <v>0.977662544874352</v>
      </c>
      <c r="FQ15" s="30">
        <v>0.98328008393148003</v>
      </c>
      <c r="FS15" s="37">
        <v>0.95652173913043503</v>
      </c>
      <c r="FT15" s="30">
        <v>0.98319669035175405</v>
      </c>
      <c r="FV15" s="30">
        <v>0.986437973673713</v>
      </c>
      <c r="FW15" s="30">
        <v>0.98385385180909801</v>
      </c>
      <c r="FY15" s="30">
        <v>0.98324690865576403</v>
      </c>
      <c r="FZ15" s="30">
        <v>0.98651401167921504</v>
      </c>
      <c r="GB15" s="30">
        <v>0.95372955723972896</v>
      </c>
      <c r="GC15" s="30">
        <v>0.98559397040433905</v>
      </c>
      <c r="GE15" s="30">
        <v>0.98284802552852002</v>
      </c>
      <c r="GF15" s="30">
        <v>0.98372213803419695</v>
      </c>
    </row>
    <row r="16" spans="1:188" x14ac:dyDescent="0.3">
      <c r="A16" s="1" t="s">
        <v>14</v>
      </c>
      <c r="B16" s="22">
        <v>0.83285714285714296</v>
      </c>
      <c r="D16" s="1" t="s">
        <v>14</v>
      </c>
      <c r="E16" s="22">
        <v>0.85357142857142898</v>
      </c>
      <c r="G16" s="1" t="s">
        <v>14</v>
      </c>
      <c r="H16" s="22">
        <v>0.82750000000000001</v>
      </c>
      <c r="J16" s="1" t="s">
        <v>14</v>
      </c>
      <c r="K16" s="22">
        <v>0.88857142857142901</v>
      </c>
      <c r="M16" s="1" t="s">
        <v>14</v>
      </c>
      <c r="N16" s="22">
        <v>0.88964285714285696</v>
      </c>
      <c r="P16" s="1" t="s">
        <v>14</v>
      </c>
      <c r="Q16" s="22">
        <v>0.97607142857142903</v>
      </c>
      <c r="S16" s="1" t="s">
        <v>14</v>
      </c>
      <c r="T16" s="22">
        <v>0.97607142857142903</v>
      </c>
      <c r="V16" s="1" t="s">
        <v>14</v>
      </c>
      <c r="W16" s="22">
        <v>0.98035714285714304</v>
      </c>
      <c r="Z16" s="1" t="s">
        <v>14</v>
      </c>
      <c r="AA16" s="22">
        <v>0.97964285714285704</v>
      </c>
      <c r="AD16" s="32" t="s">
        <v>14</v>
      </c>
      <c r="AE16" s="27">
        <v>0.98285714285714298</v>
      </c>
      <c r="AH16" s="1" t="s">
        <v>14</v>
      </c>
      <c r="AI16" s="22">
        <v>0.98321428571428604</v>
      </c>
      <c r="AL16" s="1" t="s">
        <v>14</v>
      </c>
      <c r="AM16" s="22">
        <v>0.92642857142857205</v>
      </c>
      <c r="AP16" s="1" t="s">
        <v>14</v>
      </c>
      <c r="AQ16" s="22">
        <v>0.97928571428571398</v>
      </c>
      <c r="AS16" s="30"/>
      <c r="AT16" s="1" t="s">
        <v>14</v>
      </c>
      <c r="AU16" s="22">
        <v>0.99</v>
      </c>
      <c r="AX16" s="1" t="s">
        <v>14</v>
      </c>
      <c r="AY16" s="22">
        <v>0.98714285714285699</v>
      </c>
      <c r="BB16" s="1" t="s">
        <v>14</v>
      </c>
      <c r="BC16" s="22">
        <v>0.96857142857142897</v>
      </c>
      <c r="BE16" s="30"/>
      <c r="BF16" s="1" t="s">
        <v>14</v>
      </c>
      <c r="BG16" s="22">
        <v>0.96892857142857203</v>
      </c>
      <c r="BI16" s="30"/>
      <c r="BJ16" s="1" t="s">
        <v>14</v>
      </c>
      <c r="BK16" s="22">
        <v>0.96964285714285703</v>
      </c>
      <c r="BM16" s="30"/>
      <c r="BN16" s="1" t="s">
        <v>14</v>
      </c>
      <c r="BO16" s="22">
        <v>0.96607142857142903</v>
      </c>
      <c r="BR16" s="1" t="s">
        <v>14</v>
      </c>
      <c r="BS16" s="22">
        <v>0.97642857142857098</v>
      </c>
      <c r="BW16" s="1" t="s">
        <v>14</v>
      </c>
      <c r="BX16" s="34">
        <v>0.99964285714285706</v>
      </c>
      <c r="CA16" s="1" t="s">
        <v>14</v>
      </c>
      <c r="CB16" s="34">
        <v>1</v>
      </c>
      <c r="CE16" s="1" t="s">
        <v>14</v>
      </c>
      <c r="CF16" s="34">
        <v>1</v>
      </c>
      <c r="CI16" s="1" t="s">
        <v>14</v>
      </c>
      <c r="CJ16" s="34">
        <v>1</v>
      </c>
      <c r="CM16" s="1" t="s">
        <v>14</v>
      </c>
      <c r="CN16" s="22">
        <v>0.90607142857142897</v>
      </c>
      <c r="CO16" s="30"/>
      <c r="CQ16" s="34">
        <v>0.99964285714285706</v>
      </c>
      <c r="CR16" s="37">
        <v>1</v>
      </c>
      <c r="CS16" s="30">
        <v>0.99964285714285706</v>
      </c>
      <c r="CT16" s="30">
        <v>1</v>
      </c>
      <c r="CU16" s="30">
        <v>1</v>
      </c>
      <c r="CV16">
        <v>1</v>
      </c>
      <c r="CW16" s="30">
        <v>0.98214285714285698</v>
      </c>
      <c r="CX16" s="30">
        <v>0.99964285714285706</v>
      </c>
      <c r="CY16" s="30">
        <v>0.997142857142857</v>
      </c>
      <c r="CZ16" s="30">
        <v>1</v>
      </c>
      <c r="DA16" s="30">
        <v>0.98107142857142904</v>
      </c>
      <c r="DB16" s="30">
        <v>0.96142857142857097</v>
      </c>
      <c r="DC16" s="30">
        <v>0.94</v>
      </c>
      <c r="DD16" s="37">
        <v>0.98678571428571404</v>
      </c>
      <c r="DE16" s="30">
        <v>0.998571428571429</v>
      </c>
      <c r="DF16" s="30">
        <v>0.98607142857142904</v>
      </c>
      <c r="DH16" s="30">
        <v>1</v>
      </c>
      <c r="DI16" s="30">
        <v>0.98232186108004405</v>
      </c>
      <c r="DK16" s="30">
        <v>1</v>
      </c>
      <c r="DL16" s="30">
        <v>0.98230799233629096</v>
      </c>
      <c r="DM16" s="30">
        <v>1</v>
      </c>
      <c r="DN16" s="30">
        <v>0.98237052498819699</v>
      </c>
      <c r="DP16" s="30">
        <v>0.98</v>
      </c>
      <c r="DQ16" s="30">
        <v>0.97966895479099503</v>
      </c>
      <c r="DT16" s="37">
        <v>1</v>
      </c>
      <c r="DU16" s="37">
        <v>0.98248297357737002</v>
      </c>
      <c r="DX16" s="30">
        <v>1</v>
      </c>
      <c r="DY16" s="30">
        <v>0.98245030626554397</v>
      </c>
      <c r="EA16" s="30">
        <v>1</v>
      </c>
      <c r="EB16" s="30">
        <v>0.98248565892915796</v>
      </c>
      <c r="ED16">
        <v>0.99607142857142905</v>
      </c>
      <c r="EE16">
        <v>0.969051419753159</v>
      </c>
      <c r="EG16">
        <v>0.999285714285714</v>
      </c>
      <c r="EH16">
        <v>0.97421005417134698</v>
      </c>
      <c r="EJ16">
        <v>0.99964285714285706</v>
      </c>
      <c r="EK16">
        <v>0.97509372801767902</v>
      </c>
      <c r="EM16">
        <v>1</v>
      </c>
      <c r="EN16">
        <v>0.97759270540169096</v>
      </c>
      <c r="EP16" s="30">
        <v>0.999285714285714</v>
      </c>
      <c r="EQ16" s="30">
        <v>0.97372646293384202</v>
      </c>
      <c r="ES16">
        <v>1</v>
      </c>
      <c r="ET16">
        <v>0.97540966770863602</v>
      </c>
      <c r="EV16">
        <v>0.998571428571429</v>
      </c>
      <c r="EW16">
        <v>0.97778548216919603</v>
      </c>
      <c r="EY16">
        <v>0.99892857142857105</v>
      </c>
      <c r="EZ16">
        <v>0.96878545595339305</v>
      </c>
      <c r="FB16" s="37">
        <v>1</v>
      </c>
      <c r="FC16" s="37">
        <v>0.97743056931232597</v>
      </c>
      <c r="FE16" s="30">
        <v>1</v>
      </c>
      <c r="FF16" s="30">
        <v>0.97722000108348495</v>
      </c>
      <c r="FH16" s="30">
        <v>1</v>
      </c>
      <c r="FI16" s="30">
        <v>0.97718883749616503</v>
      </c>
      <c r="FL16" s="1" t="s">
        <v>14</v>
      </c>
      <c r="FM16" s="27">
        <v>1</v>
      </c>
      <c r="FN16" s="27">
        <v>1</v>
      </c>
      <c r="FP16" s="30">
        <v>1</v>
      </c>
      <c r="FQ16" s="30">
        <v>0.97739518274312498</v>
      </c>
      <c r="FS16" s="30">
        <v>1</v>
      </c>
      <c r="FT16" s="30">
        <v>0.97733174127689404</v>
      </c>
      <c r="FV16" s="30">
        <v>0.99964285714285706</v>
      </c>
      <c r="FW16" s="30">
        <v>0.97735990418821805</v>
      </c>
      <c r="FY16" s="30">
        <v>0.999285714285714</v>
      </c>
      <c r="FZ16" s="30">
        <v>0.98297927616018799</v>
      </c>
      <c r="GB16" s="30">
        <v>1</v>
      </c>
      <c r="GC16" s="30">
        <v>0.983368834092467</v>
      </c>
      <c r="GE16" s="30">
        <v>1</v>
      </c>
      <c r="GF16" s="30">
        <v>0.97717731418263498</v>
      </c>
    </row>
    <row r="17" spans="1:188" x14ac:dyDescent="0.3">
      <c r="A17" s="1" t="s">
        <v>15</v>
      </c>
      <c r="B17" s="22">
        <v>0.94721407624633402</v>
      </c>
      <c r="D17" s="1" t="s">
        <v>15</v>
      </c>
      <c r="E17" s="22">
        <v>0.95601173020527896</v>
      </c>
      <c r="G17" s="1" t="s">
        <v>15</v>
      </c>
      <c r="H17" s="22">
        <v>0.95161290322580605</v>
      </c>
      <c r="J17" s="1" t="s">
        <v>15</v>
      </c>
      <c r="K17" s="22">
        <v>0.98044965786901295</v>
      </c>
      <c r="M17" s="1" t="s">
        <v>15</v>
      </c>
      <c r="N17" s="22">
        <v>0.97898338220918901</v>
      </c>
      <c r="P17" s="1" t="s">
        <v>15</v>
      </c>
      <c r="Q17" s="22">
        <v>0.97214076246334302</v>
      </c>
      <c r="S17" s="1" t="s">
        <v>15</v>
      </c>
      <c r="T17" s="22">
        <v>0.97214076246334302</v>
      </c>
      <c r="V17" s="1" t="s">
        <v>15</v>
      </c>
      <c r="W17" s="22">
        <v>0.99071358748778104</v>
      </c>
      <c r="Z17" s="1" t="s">
        <v>15</v>
      </c>
      <c r="AA17" s="22">
        <v>0.99071358748778104</v>
      </c>
      <c r="AD17" s="32" t="s">
        <v>15</v>
      </c>
      <c r="AE17" s="27">
        <v>0.99217986314760498</v>
      </c>
      <c r="AH17" s="1" t="s">
        <v>15</v>
      </c>
      <c r="AI17" s="22">
        <v>0.99315738025415501</v>
      </c>
      <c r="AL17" s="1" t="s">
        <v>15</v>
      </c>
      <c r="AM17" s="22">
        <v>0.989247311827957</v>
      </c>
      <c r="AP17" s="1" t="s">
        <v>15</v>
      </c>
      <c r="AQ17" s="22">
        <v>0.99511241446725296</v>
      </c>
      <c r="AS17" s="30"/>
      <c r="AT17" s="1" t="s">
        <v>15</v>
      </c>
      <c r="AU17" s="22">
        <v>0.98191593352883699</v>
      </c>
      <c r="AX17" s="1" t="s">
        <v>15</v>
      </c>
      <c r="AY17" s="22">
        <v>0.99217986314760498</v>
      </c>
      <c r="BB17" s="1" t="s">
        <v>15</v>
      </c>
      <c r="BC17" s="22">
        <v>0.98973607038123201</v>
      </c>
      <c r="BE17" s="30"/>
      <c r="BF17" s="1" t="s">
        <v>15</v>
      </c>
      <c r="BG17" s="22">
        <v>0.99217986314760498</v>
      </c>
      <c r="BI17" s="30"/>
      <c r="BJ17" s="1" t="s">
        <v>15</v>
      </c>
      <c r="BK17" s="22">
        <v>0.99217986314760498</v>
      </c>
      <c r="BM17" s="30"/>
      <c r="BN17" s="1" t="s">
        <v>15</v>
      </c>
      <c r="BO17" s="22">
        <v>0.99413489736070404</v>
      </c>
      <c r="BR17" s="1" t="s">
        <v>15</v>
      </c>
      <c r="BS17" s="22">
        <v>0.99266862170087999</v>
      </c>
      <c r="BW17" s="1" t="s">
        <v>15</v>
      </c>
      <c r="BX17" s="22">
        <v>0.98044965786901295</v>
      </c>
      <c r="CA17" s="1" t="s">
        <v>15</v>
      </c>
      <c r="CB17" s="22">
        <v>0.99071358748778104</v>
      </c>
      <c r="CE17" s="1" t="s">
        <v>15</v>
      </c>
      <c r="CF17" s="22">
        <v>0.99169110459432996</v>
      </c>
      <c r="CI17" s="1" t="s">
        <v>15</v>
      </c>
      <c r="CJ17" s="22">
        <v>0.99022482893450603</v>
      </c>
      <c r="CM17" s="1" t="s">
        <v>15</v>
      </c>
      <c r="CN17" s="22">
        <v>0.975073313782991</v>
      </c>
      <c r="CO17" s="30"/>
      <c r="CQ17" s="22">
        <v>0.98044965786901295</v>
      </c>
      <c r="CR17" s="37">
        <v>0.98191593352883699</v>
      </c>
      <c r="CS17" s="30">
        <v>0.98680351906158403</v>
      </c>
      <c r="CT17" s="30">
        <v>0.99120234604105595</v>
      </c>
      <c r="CU17" s="30">
        <v>0.98778103616813295</v>
      </c>
      <c r="CV17">
        <v>0.98778103616813295</v>
      </c>
      <c r="CW17" s="30">
        <v>0.99364613880742902</v>
      </c>
      <c r="CX17" s="30">
        <v>0.98875855327468198</v>
      </c>
      <c r="CY17" s="30">
        <v>0.99413489736070404</v>
      </c>
      <c r="CZ17" s="30">
        <v>0.989247311827957</v>
      </c>
      <c r="DA17" s="30">
        <v>0.99315738025415401</v>
      </c>
      <c r="DB17" s="30">
        <v>0.97556207233626602</v>
      </c>
      <c r="DC17" s="30">
        <v>0.97898338220918901</v>
      </c>
      <c r="DD17" s="37">
        <v>0.99071358748778104</v>
      </c>
      <c r="DE17" s="30">
        <v>0.98973607038123201</v>
      </c>
      <c r="DF17" s="30">
        <v>0.99315738025415501</v>
      </c>
      <c r="DH17" s="30">
        <v>0.99022482893450603</v>
      </c>
      <c r="DI17" s="30">
        <v>0.985123455934795</v>
      </c>
      <c r="DK17" s="30">
        <v>0.98729227761485805</v>
      </c>
      <c r="DL17" s="30">
        <v>0.984907605191647</v>
      </c>
      <c r="DM17" s="30">
        <v>0.989247311827957</v>
      </c>
      <c r="DN17" s="30">
        <v>0.98487979338646803</v>
      </c>
      <c r="DP17" s="30">
        <v>0.99853372434017595</v>
      </c>
      <c r="DQ17" s="30">
        <v>0.98586139314107901</v>
      </c>
      <c r="DT17" s="37">
        <v>0.98875855327468198</v>
      </c>
      <c r="DU17" s="37">
        <v>0.98546341124570203</v>
      </c>
      <c r="DX17" s="30">
        <v>0.989247311827957</v>
      </c>
      <c r="DY17" s="30">
        <v>0.985482117797432</v>
      </c>
      <c r="EA17" s="30">
        <v>0.98973607038123201</v>
      </c>
      <c r="EB17" s="30">
        <v>0.98544788292104502</v>
      </c>
      <c r="ED17">
        <v>0.96383186705767399</v>
      </c>
      <c r="EE17">
        <v>0.97582970560041205</v>
      </c>
      <c r="EG17">
        <v>0.98142717497556198</v>
      </c>
      <c r="EH17">
        <v>0.97691698810568595</v>
      </c>
      <c r="EJ17">
        <v>0.98142717497556198</v>
      </c>
      <c r="EK17">
        <v>0.98056736996233496</v>
      </c>
      <c r="EM17">
        <v>0.98484848484848497</v>
      </c>
      <c r="EN17">
        <v>0.98053026685923705</v>
      </c>
      <c r="EP17" s="30">
        <v>0.98289345063538602</v>
      </c>
      <c r="EQ17" s="30">
        <v>0.98249850876053202</v>
      </c>
      <c r="ES17">
        <v>0.98435972629520996</v>
      </c>
      <c r="ET17">
        <v>0.98409175485190503</v>
      </c>
      <c r="EV17">
        <v>0.97800586510263898</v>
      </c>
      <c r="EW17">
        <v>0.97579248052940204</v>
      </c>
      <c r="EY17">
        <v>0.98435972629520996</v>
      </c>
      <c r="EZ17">
        <v>0.98099808169943803</v>
      </c>
      <c r="FB17" s="37">
        <v>0.98680351906158403</v>
      </c>
      <c r="FC17" s="37">
        <v>0.98314308136081996</v>
      </c>
      <c r="FE17" s="30">
        <v>0.98778103616813295</v>
      </c>
      <c r="FF17" s="30">
        <v>0.98334902762798804</v>
      </c>
      <c r="FH17" s="30">
        <v>0.98631476050830902</v>
      </c>
      <c r="FI17" s="30">
        <v>0.98330259401353404</v>
      </c>
      <c r="FL17" s="1" t="s">
        <v>15</v>
      </c>
      <c r="FM17" s="22">
        <v>1</v>
      </c>
      <c r="FN17" s="22">
        <v>0.98631476050830902</v>
      </c>
      <c r="FP17" s="30">
        <v>0.98826979472140797</v>
      </c>
      <c r="FQ17" s="30">
        <v>0.98317398939242295</v>
      </c>
      <c r="FS17" s="30">
        <v>0.99071358748778104</v>
      </c>
      <c r="FT17" s="30">
        <v>0.98316722661582701</v>
      </c>
      <c r="FV17" s="30">
        <v>0.98778103616813295</v>
      </c>
      <c r="FW17" s="30">
        <v>0.98367162537286901</v>
      </c>
      <c r="FY17" s="30">
        <v>0.98826979472140797</v>
      </c>
      <c r="FZ17" s="30">
        <v>0.98805977717788096</v>
      </c>
      <c r="GB17" s="30">
        <v>0.99706744868035202</v>
      </c>
      <c r="GC17" s="30">
        <v>0.98618184302943401</v>
      </c>
      <c r="GE17" s="30">
        <v>0.985826001955034</v>
      </c>
      <c r="GF17" s="30">
        <v>0.98340062018973795</v>
      </c>
    </row>
    <row r="18" spans="1:188" x14ac:dyDescent="0.3">
      <c r="A18" s="1" t="s">
        <v>16</v>
      </c>
      <c r="B18" s="22">
        <v>0.93153300600109101</v>
      </c>
      <c r="D18" s="1" t="s">
        <v>16</v>
      </c>
      <c r="E18" s="22">
        <v>0.92471358428805195</v>
      </c>
      <c r="G18" s="1" t="s">
        <v>16</v>
      </c>
      <c r="H18" s="22">
        <v>0.92498636115657396</v>
      </c>
      <c r="J18" s="1" t="s">
        <v>16</v>
      </c>
      <c r="K18" s="22">
        <v>0.91680305510092697</v>
      </c>
      <c r="M18" s="1" t="s">
        <v>16</v>
      </c>
      <c r="N18" s="22">
        <v>0.89061647572285896</v>
      </c>
      <c r="P18" s="1" t="s">
        <v>16</v>
      </c>
      <c r="Q18" s="22">
        <v>0.905073649754501</v>
      </c>
      <c r="S18" s="1" t="s">
        <v>16</v>
      </c>
      <c r="T18" s="22">
        <v>0.905073649754501</v>
      </c>
      <c r="V18" s="1" t="s">
        <v>16</v>
      </c>
      <c r="W18" s="22">
        <v>0.93726132024004405</v>
      </c>
      <c r="Z18" s="1" t="s">
        <v>16</v>
      </c>
      <c r="AA18" s="22">
        <v>0.93917075831969499</v>
      </c>
      <c r="AD18" s="32" t="s">
        <v>16</v>
      </c>
      <c r="AE18" s="27">
        <v>0.94326241134751798</v>
      </c>
      <c r="AH18" s="1" t="s">
        <v>16</v>
      </c>
      <c r="AI18" s="22">
        <v>0.94326241134751798</v>
      </c>
      <c r="AL18" s="1" t="s">
        <v>16</v>
      </c>
      <c r="AM18" s="22">
        <v>0.94953627932351403</v>
      </c>
      <c r="AP18" s="1" t="s">
        <v>16</v>
      </c>
      <c r="AQ18" s="22">
        <v>0.93917075831969399</v>
      </c>
      <c r="AS18" s="30"/>
      <c r="AT18" s="1" t="s">
        <v>16</v>
      </c>
      <c r="AU18" s="22">
        <v>0.93071467539552599</v>
      </c>
      <c r="AX18" s="1" t="s">
        <v>16</v>
      </c>
      <c r="AY18" s="22">
        <v>0.94680851063829796</v>
      </c>
      <c r="BB18" s="1" t="s">
        <v>16</v>
      </c>
      <c r="BC18" s="22">
        <v>0.95117294053464296</v>
      </c>
      <c r="BE18" s="30"/>
      <c r="BF18" s="1" t="s">
        <v>16</v>
      </c>
      <c r="BG18" s="22">
        <v>0.95253682487725</v>
      </c>
      <c r="BI18" s="30"/>
      <c r="BJ18" s="1" t="s">
        <v>16</v>
      </c>
      <c r="BK18" s="22">
        <v>0.95417348608838004</v>
      </c>
      <c r="BM18" s="30"/>
      <c r="BN18" s="1" t="s">
        <v>16</v>
      </c>
      <c r="BO18" s="22">
        <v>0.94108019639934504</v>
      </c>
      <c r="BR18" s="1" t="s">
        <v>16</v>
      </c>
      <c r="BS18" s="22">
        <v>0.93835242771412997</v>
      </c>
      <c r="BW18" s="1" t="s">
        <v>16</v>
      </c>
      <c r="BX18" s="22">
        <v>0.90452809601745798</v>
      </c>
      <c r="CA18" s="1" t="s">
        <v>16</v>
      </c>
      <c r="CB18" s="22">
        <v>0.91598472449536295</v>
      </c>
      <c r="CE18" s="1" t="s">
        <v>16</v>
      </c>
      <c r="CF18" s="22">
        <v>0.92089470812875096</v>
      </c>
      <c r="CI18" s="1" t="s">
        <v>16</v>
      </c>
      <c r="CJ18" s="22">
        <v>0.92607746863065998</v>
      </c>
      <c r="CM18" s="1" t="s">
        <v>16</v>
      </c>
      <c r="CN18" s="22">
        <v>0.92116748499727197</v>
      </c>
      <c r="CO18" s="30"/>
      <c r="CQ18" s="22">
        <v>0.90452809601745798</v>
      </c>
      <c r="CR18" s="37">
        <v>0.91953082378614304</v>
      </c>
      <c r="CS18" s="30">
        <v>0.92853246044735405</v>
      </c>
      <c r="CT18" s="30">
        <v>0.92498636115657396</v>
      </c>
      <c r="CU18" s="30">
        <v>0.93726132024004405</v>
      </c>
      <c r="CV18">
        <v>0.93289689034369905</v>
      </c>
      <c r="CW18" s="30">
        <v>0.95008183306055705</v>
      </c>
      <c r="CX18" s="30">
        <v>0.93398799781778497</v>
      </c>
      <c r="CY18" s="30">
        <v>0.93207855973813403</v>
      </c>
      <c r="CZ18" s="30">
        <v>0.93207855973813403</v>
      </c>
      <c r="DA18" s="30">
        <v>0.95171849427168598</v>
      </c>
      <c r="DB18" s="30">
        <v>0.965357337697763</v>
      </c>
      <c r="DC18" s="30">
        <v>0.95308237861429401</v>
      </c>
      <c r="DD18" s="37">
        <v>0.94653573376977596</v>
      </c>
      <c r="DE18" s="30">
        <v>0.96126568466994</v>
      </c>
      <c r="DF18" s="30">
        <v>0.93044189852700498</v>
      </c>
      <c r="DH18" s="30">
        <v>0.95881069285324605</v>
      </c>
      <c r="DI18" s="30">
        <v>0.98552175973454004</v>
      </c>
      <c r="DK18" s="30">
        <v>0.96044735406437498</v>
      </c>
      <c r="DL18" s="30">
        <v>0.98538751506048505</v>
      </c>
      <c r="DM18" s="30">
        <v>0.95990180032733197</v>
      </c>
      <c r="DN18" s="30">
        <v>0.98536286329697698</v>
      </c>
      <c r="DP18" s="30">
        <v>0.93126022913257001</v>
      </c>
      <c r="DQ18" s="30">
        <v>0.986153150237851</v>
      </c>
      <c r="DT18" s="37">
        <v>0.96262956901254804</v>
      </c>
      <c r="DU18" s="37">
        <v>0.98572431396041404</v>
      </c>
      <c r="DX18" s="30">
        <v>0.96099290780141799</v>
      </c>
      <c r="DY18" s="30">
        <v>0.98573078809356496</v>
      </c>
      <c r="EA18" s="30">
        <v>0.95853791598472504</v>
      </c>
      <c r="EB18" s="30">
        <v>0.98570452043213297</v>
      </c>
      <c r="ED18">
        <v>0.88488816148390603</v>
      </c>
      <c r="EE18">
        <v>0.96827040030121203</v>
      </c>
      <c r="EG18">
        <v>0.89061647572285896</v>
      </c>
      <c r="EH18">
        <v>0.96974994044109897</v>
      </c>
      <c r="EJ18">
        <v>0.91489361702127703</v>
      </c>
      <c r="EK18">
        <v>0.97607107948159899</v>
      </c>
      <c r="EM18">
        <v>0.94762684124386198</v>
      </c>
      <c r="EN18">
        <v>0.98002546558194004</v>
      </c>
      <c r="EP18" s="30">
        <v>0.95171849427168598</v>
      </c>
      <c r="EQ18" s="30">
        <v>0.98135376579470901</v>
      </c>
      <c r="ES18">
        <v>0.96781232951445695</v>
      </c>
      <c r="ET18">
        <v>0.98572679254073203</v>
      </c>
      <c r="EV18">
        <v>0.95417348608838004</v>
      </c>
      <c r="EW18">
        <v>0.98239967065496203</v>
      </c>
      <c r="EY18">
        <v>0.91762138570649199</v>
      </c>
      <c r="EZ18">
        <v>0.97445001821599897</v>
      </c>
      <c r="FB18" s="37">
        <v>0.96235679214402603</v>
      </c>
      <c r="FC18" s="37">
        <v>0.98513360940220096</v>
      </c>
      <c r="FE18" s="30">
        <v>0.96372067648663395</v>
      </c>
      <c r="FF18" s="30">
        <v>0.98488115269642995</v>
      </c>
      <c r="FH18" s="30">
        <v>0.96099290780141799</v>
      </c>
      <c r="FI18" s="30">
        <v>0.98488269301557496</v>
      </c>
      <c r="FL18" s="1" t="s">
        <v>16</v>
      </c>
      <c r="FM18" s="22">
        <v>0.99</v>
      </c>
      <c r="FN18" s="22">
        <v>0.96099290780141799</v>
      </c>
      <c r="FP18" s="30">
        <v>0.95935624659028895</v>
      </c>
      <c r="FQ18" s="30">
        <v>0.984629362391086</v>
      </c>
      <c r="FS18" s="30">
        <v>0.95990180032733197</v>
      </c>
      <c r="FT18" s="30">
        <v>0.98461346283316498</v>
      </c>
      <c r="FV18" s="30">
        <v>0.96317512274959105</v>
      </c>
      <c r="FW18" s="30">
        <v>0.98505374493946496</v>
      </c>
      <c r="FY18" s="30">
        <v>0.97463175122749601</v>
      </c>
      <c r="FZ18" s="30">
        <v>0.98740895505347703</v>
      </c>
      <c r="GB18" s="30">
        <v>0.969721767594108</v>
      </c>
      <c r="GC18" s="30">
        <v>0.98674676793259897</v>
      </c>
      <c r="GE18" s="30">
        <v>0.95990180032733197</v>
      </c>
      <c r="GF18" s="30">
        <v>0.98476276256024498</v>
      </c>
    </row>
    <row r="19" spans="1:188" x14ac:dyDescent="0.3">
      <c r="A19" s="1" t="s">
        <v>17</v>
      </c>
      <c r="B19" s="22">
        <v>0.86923549907768005</v>
      </c>
      <c r="D19" s="1" t="s">
        <v>17</v>
      </c>
      <c r="E19" s="22">
        <v>0.85714285714285698</v>
      </c>
      <c r="G19" s="1" t="s">
        <v>17</v>
      </c>
      <c r="H19" s="22">
        <v>0.87845870055339204</v>
      </c>
      <c r="J19" s="1" t="s">
        <v>17</v>
      </c>
      <c r="K19" s="22">
        <v>0.87886862061897897</v>
      </c>
      <c r="M19" s="1" t="s">
        <v>17</v>
      </c>
      <c r="N19" s="22">
        <v>0.88604222176675496</v>
      </c>
      <c r="P19" s="1" t="s">
        <v>17</v>
      </c>
      <c r="Q19" s="22">
        <v>0.83254765320762503</v>
      </c>
      <c r="S19" s="1" t="s">
        <v>17</v>
      </c>
      <c r="T19" s="22">
        <v>0.83254765320762503</v>
      </c>
      <c r="V19" s="1" t="s">
        <v>17</v>
      </c>
      <c r="W19" s="22">
        <v>0.95408895265423199</v>
      </c>
      <c r="Z19" s="1" t="s">
        <v>17</v>
      </c>
      <c r="AA19" s="22">
        <v>0.95060463209674095</v>
      </c>
      <c r="AD19" s="32" t="s">
        <v>17</v>
      </c>
      <c r="AE19" s="27">
        <v>0.95142447222791604</v>
      </c>
      <c r="AH19" s="1" t="s">
        <v>17</v>
      </c>
      <c r="AI19" s="22">
        <v>0.95183439229350297</v>
      </c>
      <c r="AL19" s="1" t="s">
        <v>17</v>
      </c>
      <c r="AM19" s="22">
        <v>0.90817790530846498</v>
      </c>
      <c r="AP19" s="1" t="s">
        <v>17</v>
      </c>
      <c r="AQ19" s="22">
        <v>0.95183439229350297</v>
      </c>
      <c r="AS19" s="30"/>
      <c r="AT19" s="1" t="s">
        <v>17</v>
      </c>
      <c r="AU19" s="22">
        <v>0.92498462799754</v>
      </c>
      <c r="AX19" s="1" t="s">
        <v>17</v>
      </c>
      <c r="AY19" s="22">
        <v>0.948964951834392</v>
      </c>
      <c r="BB19" s="1" t="s">
        <v>17</v>
      </c>
      <c r="BC19" s="22">
        <v>0.94097151055544204</v>
      </c>
      <c r="BE19" s="30"/>
      <c r="BF19" s="1" t="s">
        <v>17</v>
      </c>
      <c r="BG19" s="22">
        <v>0.93912687026029895</v>
      </c>
      <c r="BI19" s="30"/>
      <c r="BJ19" s="1" t="s">
        <v>17</v>
      </c>
      <c r="BK19" s="22">
        <v>0.93502766960442696</v>
      </c>
      <c r="BM19" s="30"/>
      <c r="BN19" s="1" t="s">
        <v>17</v>
      </c>
      <c r="BO19" s="22">
        <v>0.94404591104734603</v>
      </c>
      <c r="BR19" s="1" t="s">
        <v>17</v>
      </c>
      <c r="BS19" s="22">
        <v>0.94875999180159898</v>
      </c>
      <c r="BW19" s="1" t="s">
        <v>17</v>
      </c>
      <c r="BX19" s="22">
        <v>0.89362574298011899</v>
      </c>
      <c r="CA19" s="1" t="s">
        <v>17</v>
      </c>
      <c r="CB19" s="22">
        <v>0.95716335314613699</v>
      </c>
      <c r="CE19" s="1" t="s">
        <v>17</v>
      </c>
      <c r="CF19" s="22">
        <v>0.97437999590079905</v>
      </c>
      <c r="CI19" s="1" t="s">
        <v>17</v>
      </c>
      <c r="CJ19" s="22">
        <v>0.97458495593359296</v>
      </c>
      <c r="CM19" s="1" t="s">
        <v>17</v>
      </c>
      <c r="CN19" s="22">
        <v>0.901004304160689</v>
      </c>
      <c r="CO19" s="30"/>
      <c r="CQ19" s="22">
        <v>0.89362574298011899</v>
      </c>
      <c r="CR19" s="37">
        <v>0.90715310514449699</v>
      </c>
      <c r="CS19" s="30">
        <v>0.94957983193277296</v>
      </c>
      <c r="CT19" s="30">
        <v>0.96679647468743601</v>
      </c>
      <c r="CU19" s="30">
        <v>0.95777823324451705</v>
      </c>
      <c r="CV19">
        <v>0.96782127485140401</v>
      </c>
      <c r="CW19" s="30">
        <v>0.91965566714490699</v>
      </c>
      <c r="CX19" s="30">
        <v>0.92867390858782495</v>
      </c>
      <c r="CY19" s="30">
        <v>0.93113342898134899</v>
      </c>
      <c r="CZ19" s="30">
        <v>0.96023775363804098</v>
      </c>
      <c r="DA19" s="30">
        <v>0.94835007173601105</v>
      </c>
      <c r="DB19" s="30">
        <v>0.91760606681697099</v>
      </c>
      <c r="DC19" s="30">
        <v>0.91268702602992402</v>
      </c>
      <c r="DD19" s="37">
        <v>0.94773519163763098</v>
      </c>
      <c r="DE19" s="30">
        <v>0.93195326911252296</v>
      </c>
      <c r="DF19" s="30">
        <v>0.90981758557081405</v>
      </c>
      <c r="DH19" s="30">
        <v>0.97315023570403802</v>
      </c>
      <c r="DI19" s="30">
        <v>0.99123682592782303</v>
      </c>
      <c r="DK19" s="30">
        <v>0.97376511580241898</v>
      </c>
      <c r="DL19" s="30">
        <v>0.99149598189253396</v>
      </c>
      <c r="DM19" s="30">
        <v>0.961467513834802</v>
      </c>
      <c r="DN19" s="30">
        <v>0.99060937398013205</v>
      </c>
      <c r="DP19" s="30">
        <v>0.93687230989957004</v>
      </c>
      <c r="DQ19" s="30">
        <v>0.99014631643962603</v>
      </c>
      <c r="DT19" s="37">
        <v>0.97478991596638698</v>
      </c>
      <c r="DU19" s="37">
        <v>0.99104324619156103</v>
      </c>
      <c r="DX19" s="30">
        <v>0.96905103504816603</v>
      </c>
      <c r="DY19" s="30">
        <v>0.99141527094597803</v>
      </c>
      <c r="EA19" s="30">
        <v>0.96782127485140401</v>
      </c>
      <c r="EB19" s="30">
        <v>0.99111344906866505</v>
      </c>
      <c r="ED19">
        <v>0.80446812871490103</v>
      </c>
      <c r="EE19">
        <v>0.93986040740653698</v>
      </c>
      <c r="EG19">
        <v>0.88255790120926403</v>
      </c>
      <c r="EH19">
        <v>0.96725644717774795</v>
      </c>
      <c r="EJ19">
        <v>0.89977454396392698</v>
      </c>
      <c r="EK19">
        <v>0.97798707154226205</v>
      </c>
      <c r="EM19">
        <v>0.93359294937487203</v>
      </c>
      <c r="EN19">
        <v>0.98381506153938603</v>
      </c>
      <c r="EP19" s="30">
        <v>0.96925599508095905</v>
      </c>
      <c r="EQ19" s="30">
        <v>0.98654499523022698</v>
      </c>
      <c r="ES19">
        <v>0.93687230989957004</v>
      </c>
      <c r="ET19">
        <v>0.98551917166977498</v>
      </c>
      <c r="EV19">
        <v>0.92150030744004896</v>
      </c>
      <c r="EW19">
        <v>0.98487494831309397</v>
      </c>
      <c r="EY19">
        <v>0.93461774953884003</v>
      </c>
      <c r="EZ19">
        <v>0.98401296627620605</v>
      </c>
      <c r="FB19" s="37">
        <v>0.98565279770444802</v>
      </c>
      <c r="FC19" s="37">
        <v>0.98712730169111296</v>
      </c>
      <c r="FE19" s="30">
        <v>0.98401311744209896</v>
      </c>
      <c r="FF19" s="30">
        <v>0.99072072956503099</v>
      </c>
      <c r="FH19" s="30">
        <v>0.98893215822914504</v>
      </c>
      <c r="FI19" s="30">
        <v>0.99024087971055497</v>
      </c>
      <c r="FL19" s="1" t="s">
        <v>17</v>
      </c>
      <c r="FM19" s="22">
        <v>0.98199999999999998</v>
      </c>
      <c r="FN19" s="27">
        <v>0.98893215822914504</v>
      </c>
      <c r="FP19" s="37">
        <v>0.99364623898339799</v>
      </c>
      <c r="FQ19" s="30">
        <v>0.990535903722503</v>
      </c>
      <c r="FS19" s="37">
        <v>0.99405615904898503</v>
      </c>
      <c r="FT19" s="30">
        <v>0.99064739861854001</v>
      </c>
      <c r="FV19" s="30">
        <v>0.98626767780282898</v>
      </c>
      <c r="FW19" s="30">
        <v>0.98986033497706605</v>
      </c>
      <c r="FY19" s="30">
        <v>0.98298831727813096</v>
      </c>
      <c r="FZ19" s="30">
        <v>0.99330891275922895</v>
      </c>
      <c r="GB19" s="30">
        <v>0.96228735396597698</v>
      </c>
      <c r="GC19" s="30">
        <v>0.99212605407719601</v>
      </c>
      <c r="GE19" s="30">
        <v>0.99098175855708104</v>
      </c>
      <c r="GF19" s="30">
        <v>0.99070208826226103</v>
      </c>
    </row>
    <row r="20" spans="1:188" x14ac:dyDescent="0.3">
      <c r="A20" s="1" t="s">
        <v>18</v>
      </c>
      <c r="B20" s="22">
        <v>0.94722222222222197</v>
      </c>
      <c r="D20" s="1" t="s">
        <v>18</v>
      </c>
      <c r="E20" s="22">
        <v>0.96388888888888902</v>
      </c>
      <c r="G20" s="1" t="s">
        <v>18</v>
      </c>
      <c r="H20" s="22">
        <v>0.95277777777777795</v>
      </c>
      <c r="J20" s="1" t="s">
        <v>18</v>
      </c>
      <c r="K20" s="22">
        <v>0.969444444444444</v>
      </c>
      <c r="M20" s="1" t="s">
        <v>18</v>
      </c>
      <c r="N20" s="22">
        <v>0.96666666666666701</v>
      </c>
      <c r="P20" s="1" t="s">
        <v>18</v>
      </c>
      <c r="Q20" s="22">
        <v>0.97499999999999998</v>
      </c>
      <c r="S20" s="1" t="s">
        <v>18</v>
      </c>
      <c r="T20" s="22">
        <v>0.97499999999999998</v>
      </c>
      <c r="V20" s="1" t="s">
        <v>18</v>
      </c>
      <c r="W20" s="22">
        <v>0.97499999999999998</v>
      </c>
      <c r="Z20" s="1" t="s">
        <v>18</v>
      </c>
      <c r="AA20" s="22">
        <v>0.97222222222222199</v>
      </c>
      <c r="AD20" s="32" t="s">
        <v>18</v>
      </c>
      <c r="AE20" s="27">
        <v>0.97222222222222199</v>
      </c>
      <c r="AH20" s="1" t="s">
        <v>18</v>
      </c>
      <c r="AI20" s="22">
        <v>0.97222222222222199</v>
      </c>
      <c r="AL20" s="1" t="s">
        <v>18</v>
      </c>
      <c r="AM20" s="22">
        <v>0.96666666666666701</v>
      </c>
      <c r="AP20" s="1" t="s">
        <v>18</v>
      </c>
      <c r="AQ20" s="22">
        <v>0.97222222222222199</v>
      </c>
      <c r="AS20" s="30"/>
      <c r="AT20" s="1" t="s">
        <v>18</v>
      </c>
      <c r="AU20" s="22">
        <v>0.97777777777777797</v>
      </c>
      <c r="AX20" s="1" t="s">
        <v>18</v>
      </c>
      <c r="AY20" s="22">
        <v>0.97222222222222199</v>
      </c>
      <c r="BB20" s="1" t="s">
        <v>18</v>
      </c>
      <c r="BC20" s="22">
        <v>0.97777777777777797</v>
      </c>
      <c r="BE20" s="30"/>
      <c r="BF20" s="1" t="s">
        <v>18</v>
      </c>
      <c r="BG20" s="22">
        <v>0.97777777777777797</v>
      </c>
      <c r="BI20" s="30"/>
      <c r="BJ20" s="1" t="s">
        <v>18</v>
      </c>
      <c r="BK20" s="22">
        <v>0.97499999999999998</v>
      </c>
      <c r="BM20" s="30"/>
      <c r="BN20" s="1" t="s">
        <v>18</v>
      </c>
      <c r="BO20" s="22">
        <v>0.96666666666666701</v>
      </c>
      <c r="BR20" s="1" t="s">
        <v>18</v>
      </c>
      <c r="BS20" s="22">
        <v>0.97499999999999998</v>
      </c>
      <c r="BW20" s="1" t="s">
        <v>18</v>
      </c>
      <c r="BX20" s="34">
        <v>1</v>
      </c>
      <c r="CA20" s="1" t="s">
        <v>18</v>
      </c>
      <c r="CB20" s="22">
        <v>0.99444444444444402</v>
      </c>
      <c r="CE20" s="1" t="s">
        <v>18</v>
      </c>
      <c r="CF20" s="22">
        <v>0.99722222222222201</v>
      </c>
      <c r="CI20" s="1" t="s">
        <v>18</v>
      </c>
      <c r="CJ20" s="22">
        <v>0.99722222222222201</v>
      </c>
      <c r="CM20" s="1" t="s">
        <v>18</v>
      </c>
      <c r="CN20" s="22">
        <v>0.96666666666666701</v>
      </c>
      <c r="CO20" s="30"/>
      <c r="CQ20" s="34">
        <v>1</v>
      </c>
      <c r="CR20" s="37">
        <v>1</v>
      </c>
      <c r="CS20" s="30">
        <v>0.95833333333333304</v>
      </c>
      <c r="CT20" s="30">
        <v>0.98611111111111105</v>
      </c>
      <c r="CU20" s="30">
        <v>1</v>
      </c>
      <c r="CV20">
        <v>0.99722222222222201</v>
      </c>
      <c r="CW20" s="30">
        <v>1</v>
      </c>
      <c r="CX20" s="30">
        <v>0.969444444444444</v>
      </c>
      <c r="CY20" s="30">
        <v>1</v>
      </c>
      <c r="CZ20" s="30">
        <v>0.99722222222222201</v>
      </c>
      <c r="DA20" s="30">
        <v>0.97222222222222199</v>
      </c>
      <c r="DB20" s="30">
        <v>0.95277777777777795</v>
      </c>
      <c r="DC20" s="30">
        <v>0.96666666666666701</v>
      </c>
      <c r="DD20" s="37">
        <v>1</v>
      </c>
      <c r="DE20" s="30">
        <v>1</v>
      </c>
      <c r="DF20" s="30">
        <v>0.95555555555555605</v>
      </c>
      <c r="DH20" s="30">
        <v>1</v>
      </c>
      <c r="DI20" s="30">
        <v>0.98879074288100799</v>
      </c>
      <c r="DK20" s="30">
        <v>1</v>
      </c>
      <c r="DL20" s="30">
        <v>0.98884022200213195</v>
      </c>
      <c r="DM20" s="30">
        <v>1</v>
      </c>
      <c r="DN20" s="30">
        <v>0.98892217733478505</v>
      </c>
      <c r="DP20" s="30">
        <v>0.92500000000000004</v>
      </c>
      <c r="DQ20" s="30">
        <v>0.97540177862453004</v>
      </c>
      <c r="DT20" s="37">
        <v>1</v>
      </c>
      <c r="DU20" s="37">
        <v>0.98876422539210296</v>
      </c>
      <c r="DX20" s="30">
        <v>1</v>
      </c>
      <c r="DY20" s="30">
        <v>0.98880614668656197</v>
      </c>
      <c r="EA20" s="30">
        <v>1</v>
      </c>
      <c r="EB20" s="30">
        <v>0.98882268201344703</v>
      </c>
      <c r="ED20">
        <v>0.95555555555555605</v>
      </c>
      <c r="EE20">
        <v>0.97248985451759895</v>
      </c>
      <c r="EG20">
        <v>0.97222222222222199</v>
      </c>
      <c r="EH20">
        <v>0.97865839797378795</v>
      </c>
      <c r="EJ20">
        <v>1</v>
      </c>
      <c r="EK20">
        <v>0.98176598957456795</v>
      </c>
      <c r="EM20">
        <v>1</v>
      </c>
      <c r="EN20">
        <v>0.98497399673184205</v>
      </c>
      <c r="EP20" s="30">
        <v>0.99444444444444402</v>
      </c>
      <c r="EQ20" s="30">
        <v>0.983836758952085</v>
      </c>
      <c r="ES20">
        <v>1</v>
      </c>
      <c r="ET20">
        <v>0.98638057232920395</v>
      </c>
      <c r="EV20">
        <v>0.99444444444444402</v>
      </c>
      <c r="EW20">
        <v>0.98609080773116098</v>
      </c>
      <c r="EY20">
        <v>0.99166666666666703</v>
      </c>
      <c r="EZ20">
        <v>0.98349170482969495</v>
      </c>
      <c r="FB20" s="37">
        <v>1</v>
      </c>
      <c r="FC20" s="37">
        <v>0.98640468651304603</v>
      </c>
      <c r="FE20" s="30">
        <v>1</v>
      </c>
      <c r="FF20" s="30">
        <v>0.986019674149337</v>
      </c>
      <c r="FH20" s="30">
        <v>1</v>
      </c>
      <c r="FI20" s="30">
        <v>0.98598384612172696</v>
      </c>
      <c r="FL20" s="1" t="s">
        <v>18</v>
      </c>
      <c r="FM20" s="22">
        <v>0.997</v>
      </c>
      <c r="FN20" s="27">
        <v>1</v>
      </c>
      <c r="FP20" s="30">
        <v>1</v>
      </c>
      <c r="FQ20" s="30">
        <v>0.98555580242119301</v>
      </c>
      <c r="FS20" s="30">
        <v>1</v>
      </c>
      <c r="FT20" s="30">
        <v>0.98534393584646796</v>
      </c>
      <c r="FV20" s="30">
        <v>1</v>
      </c>
      <c r="FW20" s="30">
        <v>0.98625429683601495</v>
      </c>
      <c r="FY20" s="30">
        <v>1</v>
      </c>
      <c r="FZ20" s="30">
        <v>0.98898295275540904</v>
      </c>
      <c r="GB20" s="30">
        <v>1</v>
      </c>
      <c r="GC20" s="30">
        <v>0.98884648065392799</v>
      </c>
      <c r="GE20" s="30">
        <v>1</v>
      </c>
      <c r="GF20" s="30">
        <v>0.98593642478074495</v>
      </c>
    </row>
    <row r="21" spans="1:188" x14ac:dyDescent="0.3">
      <c r="A21" s="1" t="s">
        <v>19</v>
      </c>
      <c r="B21" s="22">
        <v>0.98124999999999996</v>
      </c>
      <c r="D21" s="1" t="s">
        <v>19</v>
      </c>
      <c r="E21" s="22">
        <v>0.987916666666667</v>
      </c>
      <c r="G21" s="1" t="s">
        <v>19</v>
      </c>
      <c r="H21" s="22">
        <v>0.98708333333333298</v>
      </c>
      <c r="J21" s="1" t="s">
        <v>19</v>
      </c>
      <c r="K21" s="22">
        <v>0.99333333333333296</v>
      </c>
      <c r="M21" s="1" t="s">
        <v>19</v>
      </c>
      <c r="N21" s="22">
        <v>0.98958333333333304</v>
      </c>
      <c r="P21" s="1" t="s">
        <v>19</v>
      </c>
      <c r="Q21" s="22">
        <v>0.99750000000000005</v>
      </c>
      <c r="S21" s="1" t="s">
        <v>19</v>
      </c>
      <c r="T21" s="22">
        <v>0.99750000000000005</v>
      </c>
      <c r="V21" s="1" t="s">
        <v>19</v>
      </c>
      <c r="W21" s="22">
        <v>1</v>
      </c>
      <c r="Z21" s="1" t="s">
        <v>19</v>
      </c>
      <c r="AA21" s="22">
        <v>1</v>
      </c>
      <c r="AD21" s="32" t="s">
        <v>19</v>
      </c>
      <c r="AE21" s="27">
        <v>1</v>
      </c>
      <c r="AH21" s="1" t="s">
        <v>19</v>
      </c>
      <c r="AI21" s="22">
        <v>1</v>
      </c>
      <c r="AL21" s="1" t="s">
        <v>19</v>
      </c>
      <c r="AM21" s="22">
        <v>0.99708333333333299</v>
      </c>
      <c r="AP21" s="1" t="s">
        <v>19</v>
      </c>
      <c r="AQ21" s="22">
        <v>1</v>
      </c>
      <c r="AS21" s="30"/>
      <c r="AT21" s="1" t="s">
        <v>19</v>
      </c>
      <c r="AU21" s="22">
        <v>1</v>
      </c>
      <c r="AX21" s="1" t="s">
        <v>19</v>
      </c>
      <c r="AY21" s="22">
        <v>1</v>
      </c>
      <c r="BB21" s="1" t="s">
        <v>19</v>
      </c>
      <c r="BC21" s="22">
        <v>0.99958333333333305</v>
      </c>
      <c r="BE21" s="30"/>
      <c r="BF21" s="1" t="s">
        <v>19</v>
      </c>
      <c r="BG21" s="22">
        <v>0.99958333333333305</v>
      </c>
      <c r="BI21" s="30"/>
      <c r="BJ21" s="1" t="s">
        <v>19</v>
      </c>
      <c r="BK21" s="22">
        <v>0.99875000000000003</v>
      </c>
      <c r="BM21" s="30"/>
      <c r="BN21" s="1" t="s">
        <v>19</v>
      </c>
      <c r="BO21" s="22">
        <v>0.99875000000000003</v>
      </c>
      <c r="BR21" s="1" t="s">
        <v>19</v>
      </c>
      <c r="BS21" s="22">
        <v>1</v>
      </c>
      <c r="BW21" s="1" t="s">
        <v>19</v>
      </c>
      <c r="BX21" s="34">
        <v>0.99958333333333305</v>
      </c>
      <c r="CA21" s="1" t="s">
        <v>19</v>
      </c>
      <c r="CB21" s="34">
        <v>1</v>
      </c>
      <c r="CE21" s="1" t="s">
        <v>19</v>
      </c>
      <c r="CF21" s="34">
        <v>1</v>
      </c>
      <c r="CI21" s="1" t="s">
        <v>19</v>
      </c>
      <c r="CJ21" s="34">
        <v>1</v>
      </c>
      <c r="CM21" s="1" t="s">
        <v>19</v>
      </c>
      <c r="CN21" s="22">
        <v>0.99833333333333296</v>
      </c>
      <c r="CO21" s="30"/>
      <c r="CQ21" s="34">
        <v>0.99958333333333305</v>
      </c>
      <c r="CR21" s="37">
        <v>0.99666666666666703</v>
      </c>
      <c r="CS21" s="30">
        <v>0.99750000000000005</v>
      </c>
      <c r="CT21" s="30">
        <v>0.99916666666666698</v>
      </c>
      <c r="CU21" s="30">
        <v>0.99958333333333305</v>
      </c>
      <c r="CV21">
        <v>0.99375000000000002</v>
      </c>
      <c r="CW21" s="30">
        <v>0.99875000000000003</v>
      </c>
      <c r="CX21" s="30">
        <v>0.99916666666666698</v>
      </c>
      <c r="CY21" s="30">
        <v>0.99250000000000005</v>
      </c>
      <c r="CZ21" s="30">
        <v>0.99458333333333304</v>
      </c>
      <c r="DA21" s="30">
        <v>0.99624999999999997</v>
      </c>
      <c r="DB21" s="30">
        <v>0.99708333333333299</v>
      </c>
      <c r="DC21" s="30">
        <v>0.99624999999999997</v>
      </c>
      <c r="DD21" s="37">
        <v>0.99791666666666701</v>
      </c>
      <c r="DE21" s="30">
        <v>0.99958333333333305</v>
      </c>
      <c r="DF21" s="30">
        <v>1</v>
      </c>
      <c r="DH21" s="30">
        <v>1</v>
      </c>
      <c r="DI21" s="30">
        <v>0.97225640856598305</v>
      </c>
      <c r="DK21" s="30">
        <v>1</v>
      </c>
      <c r="DL21" s="30">
        <v>0.97262091737530199</v>
      </c>
      <c r="DM21" s="30">
        <v>1</v>
      </c>
      <c r="DN21" s="30">
        <v>0.97199177384972402</v>
      </c>
      <c r="DP21" s="30">
        <v>0.99458333333333304</v>
      </c>
      <c r="DQ21" s="30">
        <v>0.97730810689853298</v>
      </c>
      <c r="DT21" s="37">
        <v>1</v>
      </c>
      <c r="DU21" s="37">
        <v>0.97347212632451297</v>
      </c>
      <c r="DX21" s="30">
        <v>1</v>
      </c>
      <c r="DY21" s="30">
        <v>0.97373125177069397</v>
      </c>
      <c r="EA21" s="30">
        <v>1</v>
      </c>
      <c r="EB21" s="30">
        <v>0.97327211856712303</v>
      </c>
      <c r="ED21">
        <v>0.99083333333333301</v>
      </c>
      <c r="EE21">
        <v>0.97888315672293003</v>
      </c>
      <c r="EG21">
        <v>1</v>
      </c>
      <c r="EH21">
        <v>0.98414126550372805</v>
      </c>
      <c r="EJ21">
        <v>0.99916666666666698</v>
      </c>
      <c r="EK21">
        <v>0.98424197950695103</v>
      </c>
      <c r="EM21">
        <v>1</v>
      </c>
      <c r="EN21">
        <v>0.98503287945643603</v>
      </c>
      <c r="EP21" s="30">
        <v>1</v>
      </c>
      <c r="EQ21" s="30">
        <v>0.98322184286004299</v>
      </c>
      <c r="ES21">
        <v>1</v>
      </c>
      <c r="ET21">
        <v>0.98071036033387005</v>
      </c>
      <c r="EV21">
        <v>0.99416666666666698</v>
      </c>
      <c r="EW21">
        <v>0.96632246297026203</v>
      </c>
      <c r="EY21">
        <v>1</v>
      </c>
      <c r="EZ21">
        <v>0.98610525126718196</v>
      </c>
      <c r="FB21" s="37">
        <v>1</v>
      </c>
      <c r="FC21" s="37">
        <v>0.98092539178841598</v>
      </c>
      <c r="FE21" s="30">
        <v>1</v>
      </c>
      <c r="FF21" s="30">
        <v>0.98099746797301501</v>
      </c>
      <c r="FH21" s="30">
        <v>1</v>
      </c>
      <c r="FI21" s="30">
        <v>0.981004592482694</v>
      </c>
      <c r="FL21" s="1" t="s">
        <v>19</v>
      </c>
      <c r="FM21" s="27">
        <v>1</v>
      </c>
      <c r="FN21" s="27">
        <v>1</v>
      </c>
      <c r="FP21" s="30">
        <v>1</v>
      </c>
      <c r="FQ21" s="30">
        <v>0.980624531495631</v>
      </c>
      <c r="FS21" s="30">
        <v>1</v>
      </c>
      <c r="FT21" s="30">
        <v>0.98049242342271203</v>
      </c>
      <c r="FV21" s="30">
        <v>1</v>
      </c>
      <c r="FW21" s="30">
        <v>0.98099774008042195</v>
      </c>
      <c r="FY21" s="30">
        <v>1</v>
      </c>
      <c r="FZ21" s="30">
        <v>0.96868508158995803</v>
      </c>
      <c r="GB21" s="30">
        <v>0.99875000000000003</v>
      </c>
      <c r="GC21" s="30">
        <v>0.96807439884900903</v>
      </c>
      <c r="GE21" s="30">
        <v>1</v>
      </c>
      <c r="GF21" s="30">
        <v>0.98081445157865998</v>
      </c>
    </row>
    <row r="22" spans="1:188" x14ac:dyDescent="0.3">
      <c r="A22" s="1" t="s">
        <v>20</v>
      </c>
      <c r="B22" s="22">
        <v>0.94459033613445398</v>
      </c>
      <c r="D22" s="1" t="s">
        <v>20</v>
      </c>
      <c r="E22" s="22">
        <v>0.94826680672268904</v>
      </c>
      <c r="G22" s="1" t="s">
        <v>20</v>
      </c>
      <c r="H22" s="22">
        <v>0.94091386554621903</v>
      </c>
      <c r="J22" s="1" t="s">
        <v>20</v>
      </c>
      <c r="K22" s="22">
        <v>0.89942226890756305</v>
      </c>
      <c r="M22" s="1" t="s">
        <v>20</v>
      </c>
      <c r="N22" s="22">
        <v>0.90336134453781503</v>
      </c>
      <c r="P22" s="1" t="s">
        <v>20</v>
      </c>
      <c r="Q22" s="22">
        <v>0.938550420168067</v>
      </c>
      <c r="S22" s="1" t="s">
        <v>20</v>
      </c>
      <c r="T22" s="22">
        <v>0.938550420168067</v>
      </c>
      <c r="V22" s="1" t="s">
        <v>20</v>
      </c>
      <c r="W22" s="22">
        <v>0.92279411764705899</v>
      </c>
      <c r="Z22" s="1" t="s">
        <v>20</v>
      </c>
      <c r="AA22" s="22">
        <v>0.92384453781512599</v>
      </c>
      <c r="AD22" s="32" t="s">
        <v>20</v>
      </c>
      <c r="AE22" s="27">
        <v>0.92542016806722704</v>
      </c>
      <c r="AH22" s="1" t="s">
        <v>20</v>
      </c>
      <c r="AI22" s="22">
        <v>0.92647058823529405</v>
      </c>
      <c r="AL22" s="1" t="s">
        <v>20</v>
      </c>
      <c r="AM22" s="22">
        <v>0.936449579831933</v>
      </c>
      <c r="AP22" s="1" t="s">
        <v>20</v>
      </c>
      <c r="AQ22" s="22">
        <v>0.93303571428571397</v>
      </c>
      <c r="AS22" s="30"/>
      <c r="AT22" s="1" t="s">
        <v>20</v>
      </c>
      <c r="AU22" s="22">
        <v>0.94485294117647101</v>
      </c>
      <c r="AX22" s="1" t="s">
        <v>20</v>
      </c>
      <c r="AY22" s="22">
        <v>0.92043067226890796</v>
      </c>
      <c r="BB22" s="1" t="s">
        <v>20</v>
      </c>
      <c r="BC22" s="22">
        <v>0.93697478991596606</v>
      </c>
      <c r="BE22" s="30"/>
      <c r="BF22" s="1" t="s">
        <v>20</v>
      </c>
      <c r="BG22" s="22">
        <v>0.93802521008403394</v>
      </c>
      <c r="BI22" s="30"/>
      <c r="BJ22" s="1" t="s">
        <v>20</v>
      </c>
      <c r="BK22" s="22">
        <v>0.935399159663866</v>
      </c>
      <c r="BM22" s="30"/>
      <c r="BN22" s="1" t="s">
        <v>20</v>
      </c>
      <c r="BO22" s="22">
        <v>0.905199579831933</v>
      </c>
      <c r="BR22" s="1" t="s">
        <v>20</v>
      </c>
      <c r="BS22" s="22">
        <v>0.92935924369747902</v>
      </c>
      <c r="BW22" s="1" t="s">
        <v>20</v>
      </c>
      <c r="BX22" s="22">
        <v>0.92542016806722704</v>
      </c>
      <c r="CA22" s="1" t="s">
        <v>20</v>
      </c>
      <c r="CB22" s="22">
        <v>0.92752100840336105</v>
      </c>
      <c r="CE22" s="1" t="s">
        <v>20</v>
      </c>
      <c r="CF22" s="22">
        <v>0.92016806722689104</v>
      </c>
      <c r="CI22" s="1" t="s">
        <v>20</v>
      </c>
      <c r="CJ22" s="22">
        <v>0.92358193277310896</v>
      </c>
      <c r="CM22" s="1" t="s">
        <v>20</v>
      </c>
      <c r="CN22" s="22">
        <v>0.93251050420168102</v>
      </c>
      <c r="CO22" s="30"/>
      <c r="CQ22" s="22">
        <v>0.92542016806722704</v>
      </c>
      <c r="CR22" s="37">
        <v>0.93461134453781503</v>
      </c>
      <c r="CS22" s="30">
        <v>0.94091386554621903</v>
      </c>
      <c r="CT22" s="30">
        <v>0.92673319327731096</v>
      </c>
      <c r="CU22" s="30">
        <v>0.969800420168067</v>
      </c>
      <c r="CV22">
        <v>0.94800420168067201</v>
      </c>
      <c r="CW22" s="30">
        <v>0.965598739495798</v>
      </c>
      <c r="CX22" s="30">
        <v>0.93723739495798297</v>
      </c>
      <c r="CY22" s="30">
        <v>0.91911764705882404</v>
      </c>
      <c r="CZ22" s="30">
        <v>0.94984243697478998</v>
      </c>
      <c r="DA22" s="30">
        <v>0.99501050420168102</v>
      </c>
      <c r="DB22" s="30">
        <v>0.97951680672268904</v>
      </c>
      <c r="DC22" s="30">
        <v>0.98503151260504196</v>
      </c>
      <c r="DD22" s="37">
        <v>0.97478991596638698</v>
      </c>
      <c r="DE22" s="30">
        <v>0.96034663865546199</v>
      </c>
      <c r="DF22" s="30">
        <v>0.93618697478991597</v>
      </c>
      <c r="DH22" s="30">
        <v>0.95194327731092399</v>
      </c>
      <c r="DI22" s="30">
        <v>0.98743276707401695</v>
      </c>
      <c r="DK22" s="30">
        <v>0.95929621848739499</v>
      </c>
      <c r="DL22" s="30">
        <v>0.98742322345273603</v>
      </c>
      <c r="DM22" s="30">
        <v>0.95614495798319299</v>
      </c>
      <c r="DN22" s="30">
        <v>0.98725405662210597</v>
      </c>
      <c r="DP22" s="30">
        <v>0.93040966386554602</v>
      </c>
      <c r="DQ22" s="30">
        <v>0.98087154357276196</v>
      </c>
      <c r="DT22" s="37">
        <v>0.96533613445378197</v>
      </c>
      <c r="DU22" s="37">
        <v>0.98756622245696901</v>
      </c>
      <c r="DX22" s="30">
        <v>0.96244747899159699</v>
      </c>
      <c r="DY22" s="30">
        <v>0.98756775901476201</v>
      </c>
      <c r="EA22" s="30">
        <v>0.963497899159664</v>
      </c>
      <c r="EB22" s="30">
        <v>0.98752069616299898</v>
      </c>
      <c r="ED22">
        <v>0.904149159663866</v>
      </c>
      <c r="EE22">
        <v>0.93060614758438098</v>
      </c>
      <c r="EG22">
        <v>0.92542016806722704</v>
      </c>
      <c r="EH22">
        <v>0.960462141798341</v>
      </c>
      <c r="EJ22">
        <v>0.95168067226890796</v>
      </c>
      <c r="EK22">
        <v>0.97343736675349801</v>
      </c>
      <c r="EM22">
        <v>0.94301470588235303</v>
      </c>
      <c r="EN22">
        <v>0.97756912652079497</v>
      </c>
      <c r="EP22" s="30">
        <v>0.97557773109243695</v>
      </c>
      <c r="EQ22" s="30">
        <v>0.98032878470793605</v>
      </c>
      <c r="ES22">
        <v>0.97636554621848703</v>
      </c>
      <c r="ET22">
        <v>0.98396653252371102</v>
      </c>
      <c r="EV22">
        <v>0.94537815126050395</v>
      </c>
      <c r="EW22">
        <v>0.97879386462337203</v>
      </c>
      <c r="EY22">
        <v>0.96507352941176505</v>
      </c>
      <c r="EZ22">
        <v>0.97603702101296397</v>
      </c>
      <c r="FB22" s="37">
        <v>0.96638655462184897</v>
      </c>
      <c r="FC22" s="37">
        <v>0.98415873097190898</v>
      </c>
      <c r="FE22" s="30">
        <v>0.974002100840336</v>
      </c>
      <c r="FF22" s="30">
        <v>0.98451092797931095</v>
      </c>
      <c r="FH22" s="30">
        <v>0.97347689075630295</v>
      </c>
      <c r="FI22" s="30">
        <v>0.98439402681170696</v>
      </c>
      <c r="FL22" s="1" t="s">
        <v>20</v>
      </c>
      <c r="FM22" s="22">
        <v>0.999</v>
      </c>
      <c r="FN22" s="22">
        <v>0.97347689075630295</v>
      </c>
      <c r="FP22" s="30">
        <v>0.97216386554621903</v>
      </c>
      <c r="FQ22" s="30">
        <v>0.98407373369245799</v>
      </c>
      <c r="FS22" s="30">
        <v>0.97321428571428603</v>
      </c>
      <c r="FT22" s="30">
        <v>0.98349873842131796</v>
      </c>
      <c r="FV22" s="30">
        <v>0.97032563025210095</v>
      </c>
      <c r="FW22" s="30">
        <v>0.98449881017192398</v>
      </c>
      <c r="FY22" s="30">
        <v>0.96822478991596606</v>
      </c>
      <c r="FZ22" s="30">
        <v>0.98927636206392799</v>
      </c>
      <c r="GB22" s="30">
        <v>0.96533613445378197</v>
      </c>
      <c r="GC22" s="30">
        <v>0.98960339322726898</v>
      </c>
      <c r="GE22" s="30">
        <v>0.97899159663865498</v>
      </c>
      <c r="GF22" s="30">
        <v>0.98436574757637296</v>
      </c>
    </row>
    <row r="23" spans="1:188" x14ac:dyDescent="0.3">
      <c r="A23" s="1" t="s">
        <v>21</v>
      </c>
      <c r="B23" s="24">
        <f>AVERAGE(B8:B22)</f>
        <v>0.95338753806281862</v>
      </c>
      <c r="D23" s="1" t="s">
        <v>21</v>
      </c>
      <c r="E23" s="24">
        <f>AVERAGE(E8:E22)</f>
        <v>0.95513965781987031</v>
      </c>
      <c r="G23" s="1" t="s">
        <v>21</v>
      </c>
      <c r="H23" s="24">
        <f>AVERAGE(H8:H22)</f>
        <v>0.95322873936970975</v>
      </c>
      <c r="J23" s="1" t="s">
        <v>21</v>
      </c>
      <c r="K23" s="24">
        <f>AVERAGE(K8:K22)</f>
        <v>0.95666218771155465</v>
      </c>
      <c r="M23" s="1" t="s">
        <v>21</v>
      </c>
      <c r="N23" s="24">
        <f>AVERAGE(N8:N22)</f>
        <v>0.95516747846377581</v>
      </c>
      <c r="P23" s="1" t="s">
        <v>21</v>
      </c>
      <c r="Q23" s="24">
        <f>AVERAGE(Q8:Q22)</f>
        <v>0.95714837423093091</v>
      </c>
      <c r="S23" s="1" t="s">
        <v>21</v>
      </c>
      <c r="T23" s="24">
        <f>AVERAGE(T8:T22)</f>
        <v>0.95715051441284638</v>
      </c>
      <c r="V23" s="1" t="s">
        <v>21</v>
      </c>
      <c r="W23" s="24">
        <f>AVERAGE(W8:W22)</f>
        <v>0.97450934830917879</v>
      </c>
      <c r="Z23" s="1" t="s">
        <v>21</v>
      </c>
      <c r="AA23" s="24">
        <f>AVERAGE(AA8:AA22)</f>
        <v>0.97429643438613678</v>
      </c>
      <c r="AD23" s="32" t="s">
        <v>21</v>
      </c>
      <c r="AE23" s="33">
        <f>AVERAGE(AE8:AE22)</f>
        <v>0.97534168473136817</v>
      </c>
      <c r="AH23" s="1" t="s">
        <v>21</v>
      </c>
      <c r="AI23" s="24">
        <f>AVERAGE(AI8:AI22)</f>
        <v>0.97506066362805932</v>
      </c>
      <c r="AL23" s="1" t="s">
        <v>21</v>
      </c>
      <c r="AM23" s="24">
        <f>AVERAGE(AM8:AM22)</f>
        <v>0.96673157293834844</v>
      </c>
      <c r="AP23" s="1" t="s">
        <v>21</v>
      </c>
      <c r="AQ23" s="24">
        <f>AVERAGE(AQ8:AQ22)</f>
        <v>0.97547500058437475</v>
      </c>
      <c r="AT23" s="1" t="s">
        <v>21</v>
      </c>
      <c r="AU23" s="24">
        <f>AVERAGE(AU8:AU22)</f>
        <v>0.96873164396220646</v>
      </c>
      <c r="AX23" s="1" t="s">
        <v>21</v>
      </c>
      <c r="AY23" s="24">
        <f>AVERAGE(AY8:AY22)</f>
        <v>0.97547048658029689</v>
      </c>
      <c r="BB23" s="1" t="s">
        <v>21</v>
      </c>
      <c r="BC23" s="24">
        <f>AVERAGE(BC8:BC22)</f>
        <v>0.97494431629897138</v>
      </c>
      <c r="BF23" s="1" t="s">
        <v>21</v>
      </c>
      <c r="BG23" s="24">
        <f>AVERAGE(BG8:BG22)</f>
        <v>0.97544842291946654</v>
      </c>
      <c r="BJ23" s="1" t="s">
        <v>21</v>
      </c>
      <c r="BK23" s="24">
        <f>AVERAGE(BK8:BK22)</f>
        <v>0.9746793559772462</v>
      </c>
      <c r="BN23" s="1" t="s">
        <v>21</v>
      </c>
      <c r="BO23" s="24">
        <f>AVERAGE(BO8:BO22)</f>
        <v>0.9719944016288361</v>
      </c>
      <c r="BR23" s="1" t="s">
        <v>21</v>
      </c>
      <c r="BS23" s="24">
        <f>AVERAGE(BS8:BS22)</f>
        <v>0.9746187478516789</v>
      </c>
      <c r="BW23" s="1" t="s">
        <v>21</v>
      </c>
      <c r="BX23" s="24">
        <f>AVERAGE(BX8:BX22)</f>
        <v>0.9601866192216223</v>
      </c>
      <c r="CA23" s="1" t="s">
        <v>21</v>
      </c>
      <c r="CB23" s="24">
        <f>AVERAGE(CB8:CB22)</f>
        <v>0.97427995569392323</v>
      </c>
      <c r="CE23" s="1" t="s">
        <v>21</v>
      </c>
      <c r="CF23" s="24">
        <f>AVERAGE(CF8:CF22)</f>
        <v>0.97276107093492969</v>
      </c>
      <c r="CI23" s="1" t="s">
        <v>21</v>
      </c>
      <c r="CJ23" s="24">
        <f>AVERAGE(CJ8:CJ22)</f>
        <v>0.97293204354041829</v>
      </c>
      <c r="CM23" s="1" t="s">
        <v>21</v>
      </c>
      <c r="CN23" s="24">
        <f>AVERAGE(CN8:CN22)</f>
        <v>0.96478924313130343</v>
      </c>
      <c r="CQ23" s="24">
        <f t="shared" ref="CQ23:CR23" si="0">AVERAGE(CQ8:CQ22)</f>
        <v>0.9601866192216223</v>
      </c>
      <c r="CR23" s="33">
        <f t="shared" si="0"/>
        <v>0.96560696011220448</v>
      </c>
      <c r="CS23" s="24">
        <f t="shared" ref="CS23:DI23" si="1">AVERAGE(CS8:CS22)</f>
        <v>0.97121110978116953</v>
      </c>
      <c r="CT23" s="24">
        <f t="shared" si="1"/>
        <v>0.97727951828809512</v>
      </c>
      <c r="CU23" s="24">
        <f t="shared" si="1"/>
        <v>0.97804280753037132</v>
      </c>
      <c r="CV23" s="24">
        <f t="shared" si="1"/>
        <v>0.97353936089578841</v>
      </c>
      <c r="CW23" s="24">
        <f t="shared" si="1"/>
        <v>0.97792226791013337</v>
      </c>
      <c r="CX23" s="24">
        <f t="shared" si="1"/>
        <v>0.97142901943869797</v>
      </c>
      <c r="CY23" s="24">
        <f t="shared" si="1"/>
        <v>0.97388377906458057</v>
      </c>
      <c r="CZ23" s="24">
        <f t="shared" si="1"/>
        <v>0.97844471749309059</v>
      </c>
      <c r="DA23" s="24">
        <f t="shared" si="1"/>
        <v>0.98216971049378377</v>
      </c>
      <c r="DB23" s="24">
        <f t="shared" si="1"/>
        <v>0.97352881916381906</v>
      </c>
      <c r="DC23" s="24">
        <f t="shared" si="1"/>
        <v>0.97486619138929476</v>
      </c>
      <c r="DD23" s="33">
        <f t="shared" si="1"/>
        <v>0.98390156700353115</v>
      </c>
      <c r="DE23" s="24">
        <f t="shared" si="1"/>
        <v>0.98054249477194699</v>
      </c>
      <c r="DF23" s="24">
        <f t="shared" si="1"/>
        <v>0.96906512433762804</v>
      </c>
      <c r="DH23" s="24">
        <f t="shared" si="1"/>
        <v>0.98166427015867364</v>
      </c>
      <c r="DI23" s="24">
        <f t="shared" si="1"/>
        <v>0.97841914438717903</v>
      </c>
      <c r="DK23" s="24">
        <f t="shared" ref="DK23" si="2">AVERAGE(DK8:DK22)</f>
        <v>0.98188943773152737</v>
      </c>
      <c r="DL23" s="24">
        <f t="shared" ref="DL23:DN23" si="3">AVERAGE(DL8:DL22)</f>
        <v>0.97840476808183252</v>
      </c>
      <c r="DM23" s="24">
        <f t="shared" si="3"/>
        <v>0.9809477438419314</v>
      </c>
      <c r="DN23" s="24">
        <f t="shared" si="3"/>
        <v>0.97830519580634145</v>
      </c>
      <c r="DP23" s="24">
        <f t="shared" ref="DP23" si="4">AVERAGE(DP8:DP22)</f>
        <v>0.96756285438996903</v>
      </c>
      <c r="DQ23" s="24">
        <f t="shared" ref="DQ23" si="5">AVERAGE(DQ8:DQ22)</f>
        <v>0.97637411969894317</v>
      </c>
      <c r="DT23" s="33">
        <f t="shared" ref="DT23" si="6">AVERAGE(DT8:DT22)</f>
        <v>0.9843899477305359</v>
      </c>
      <c r="DU23" s="33">
        <f t="shared" ref="DU23" si="7">AVERAGE(DU8:DU22)</f>
        <v>0.97869491992531854</v>
      </c>
      <c r="DX23" s="33">
        <f t="shared" ref="DX23:FI23" si="8">AVERAGE(DX8:DX22)</f>
        <v>0.98207046550479815</v>
      </c>
      <c r="DY23" s="33">
        <f t="shared" si="8"/>
        <v>0.97866018331548899</v>
      </c>
      <c r="EA23" s="33">
        <f t="shared" si="8"/>
        <v>0.98276614228889569</v>
      </c>
      <c r="EB23" s="33">
        <f t="shared" si="8"/>
        <v>0.97865527091613658</v>
      </c>
      <c r="ED23" s="33">
        <f t="shared" si="8"/>
        <v>0.93550201414518908</v>
      </c>
      <c r="EE23" s="33">
        <f t="shared" si="8"/>
        <v>0.94262652321717144</v>
      </c>
      <c r="EG23" s="33">
        <f t="shared" si="8"/>
        <v>0.96304026048035141</v>
      </c>
      <c r="EH23" s="33">
        <f t="shared" si="8"/>
        <v>0.96247805157050759</v>
      </c>
      <c r="EJ23" s="33">
        <f t="shared" si="8"/>
        <v>0.97201956613702523</v>
      </c>
      <c r="EK23" s="33">
        <f t="shared" si="8"/>
        <v>0.96685531031682537</v>
      </c>
      <c r="EM23" s="33">
        <f t="shared" si="8"/>
        <v>0.97691564057802927</v>
      </c>
      <c r="EN23" s="33">
        <f t="shared" si="8"/>
        <v>0.97335238483487407</v>
      </c>
      <c r="EP23" s="33">
        <f t="shared" si="8"/>
        <v>0.98341319033049657</v>
      </c>
      <c r="EQ23" s="33">
        <f t="shared" si="8"/>
        <v>0.97312727848062253</v>
      </c>
      <c r="ES23" s="33">
        <f t="shared" si="8"/>
        <v>0.98341193623566459</v>
      </c>
      <c r="ET23" s="33">
        <f t="shared" si="8"/>
        <v>0.97605391987451784</v>
      </c>
      <c r="EV23" s="33">
        <f t="shared" si="8"/>
        <v>0.97303504290169618</v>
      </c>
      <c r="EW23" s="33">
        <f t="shared" si="8"/>
        <v>0.97154568028554911</v>
      </c>
      <c r="EY23" s="33">
        <f t="shared" si="8"/>
        <v>0.97460837321628924</v>
      </c>
      <c r="EZ23" s="33">
        <f t="shared" si="8"/>
        <v>0.96939457438180376</v>
      </c>
      <c r="FB23" s="33">
        <f t="shared" si="8"/>
        <v>0.98575202638667492</v>
      </c>
      <c r="FC23" s="33">
        <f t="shared" si="8"/>
        <v>0.97655816383985183</v>
      </c>
      <c r="FE23" s="33">
        <f t="shared" si="8"/>
        <v>0.9870683410618889</v>
      </c>
      <c r="FF23" s="33">
        <f t="shared" si="8"/>
        <v>0.97672742711802318</v>
      </c>
      <c r="FH23" s="33">
        <f t="shared" si="8"/>
        <v>0.98791703436200184</v>
      </c>
      <c r="FI23" s="33">
        <f t="shared" si="8"/>
        <v>0.97670330899331548</v>
      </c>
      <c r="FL23" s="1" t="s">
        <v>21</v>
      </c>
      <c r="FM23" s="24">
        <f>AVERAGE(FM8:FM22)</f>
        <v>0.99573333333333336</v>
      </c>
      <c r="FN23" s="24">
        <f>AVERAGE(FN8:FN22)</f>
        <v>0.98791703436200184</v>
      </c>
      <c r="FP23" s="24">
        <f>AVERAGE(FP8:FP22)</f>
        <v>0.98707122033773242</v>
      </c>
      <c r="FQ23" s="24">
        <f>AVERAGE(FQ8:FQ22)</f>
        <v>0.97638309601875506</v>
      </c>
      <c r="FS23" s="24">
        <f>AVERAGE(FS8:FS22)</f>
        <v>0.98603146294240185</v>
      </c>
      <c r="FT23" s="24">
        <f>AVERAGE(FT8:FT22)</f>
        <v>0.97614933186915254</v>
      </c>
      <c r="FV23" s="24">
        <f>AVERAGE(FV8:FV22)</f>
        <v>0.98738777720409421</v>
      </c>
      <c r="FW23" s="24">
        <f>AVERAGE(FW8:FW22)</f>
        <v>0.97690892072845592</v>
      </c>
      <c r="FY23" s="24">
        <f>AVERAGE(FY8:FY22)</f>
        <v>0.98782408267036947</v>
      </c>
      <c r="FZ23" s="24">
        <f>AVERAGE(FZ8:FZ22)</f>
        <v>0.9801615265853959</v>
      </c>
      <c r="GB23" s="24">
        <f>AVERAGE(GB8:GB22)</f>
        <v>0.98394197377790971</v>
      </c>
      <c r="GC23" s="24">
        <f>AVERAGE(GC8:GC22)</f>
        <v>0.98015631230186562</v>
      </c>
      <c r="GE23" s="24">
        <f>AVERAGE(GE8:GE22)</f>
        <v>0.98781144410858945</v>
      </c>
      <c r="GF23" s="24">
        <f>AVERAGE(GF8:GF22)</f>
        <v>0.97667856778386353</v>
      </c>
    </row>
    <row r="24" spans="1:188" x14ac:dyDescent="0.3">
      <c r="DH24" t="s">
        <v>167</v>
      </c>
      <c r="DK24" t="s">
        <v>168</v>
      </c>
      <c r="DM24" t="s">
        <v>172</v>
      </c>
      <c r="FE24" t="s">
        <v>187</v>
      </c>
      <c r="GE24" t="s">
        <v>192</v>
      </c>
    </row>
    <row r="25" spans="1:188" x14ac:dyDescent="0.3">
      <c r="AD25" t="s">
        <v>142</v>
      </c>
      <c r="DK25" t="s">
        <v>169</v>
      </c>
      <c r="DM25" t="s">
        <v>173</v>
      </c>
      <c r="DP25" t="s">
        <v>166</v>
      </c>
      <c r="DT25" t="s">
        <v>174</v>
      </c>
      <c r="DX25" t="s">
        <v>175</v>
      </c>
      <c r="EA25" t="s">
        <v>172</v>
      </c>
    </row>
    <row r="26" spans="1:188" x14ac:dyDescent="0.3">
      <c r="EA26" t="s">
        <v>176</v>
      </c>
    </row>
    <row r="27" spans="1:188" x14ac:dyDescent="0.3">
      <c r="EA27" t="s">
        <v>177</v>
      </c>
    </row>
    <row r="28" spans="1:188" x14ac:dyDescent="0.3">
      <c r="CA28">
        <v>0.01</v>
      </c>
      <c r="CB28">
        <v>0.998</v>
      </c>
    </row>
    <row r="29" spans="1:188" x14ac:dyDescent="0.3">
      <c r="CA29">
        <v>0.02</v>
      </c>
      <c r="CB29">
        <v>0.99839999999999995</v>
      </c>
    </row>
    <row r="30" spans="1:188" x14ac:dyDescent="0.3">
      <c r="CA30">
        <v>0.03</v>
      </c>
      <c r="CB30">
        <v>0.998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758A7-2696-4D54-9DD3-05C139D4A618}">
  <dimension ref="A1:X26"/>
  <sheetViews>
    <sheetView topLeftCell="B1" workbookViewId="0">
      <selection activeCell="N22" sqref="N13:N22"/>
    </sheetView>
  </sheetViews>
  <sheetFormatPr defaultRowHeight="14.4" x14ac:dyDescent="0.3"/>
  <cols>
    <col min="16" max="20" width="8.77734375" customWidth="1"/>
  </cols>
  <sheetData>
    <row r="1" spans="1:24" x14ac:dyDescent="0.3">
      <c r="A1" t="s">
        <v>0</v>
      </c>
      <c r="B1" t="s">
        <v>103</v>
      </c>
      <c r="C1" t="s">
        <v>22</v>
      </c>
      <c r="D1" t="s">
        <v>0</v>
      </c>
      <c r="E1" t="s">
        <v>103</v>
      </c>
      <c r="F1" t="s">
        <v>22</v>
      </c>
      <c r="G1" t="s">
        <v>0</v>
      </c>
      <c r="H1" t="s">
        <v>112</v>
      </c>
      <c r="I1" t="s">
        <v>22</v>
      </c>
      <c r="J1" t="s">
        <v>0</v>
      </c>
      <c r="K1" t="s">
        <v>112</v>
      </c>
      <c r="L1" t="s">
        <v>22</v>
      </c>
      <c r="M1" t="s">
        <v>0</v>
      </c>
      <c r="N1" t="s">
        <v>112</v>
      </c>
      <c r="O1" t="s">
        <v>22</v>
      </c>
      <c r="P1" t="s">
        <v>0</v>
      </c>
      <c r="Q1" t="s">
        <v>113</v>
      </c>
      <c r="R1" t="s">
        <v>22</v>
      </c>
      <c r="S1" t="s">
        <v>0</v>
      </c>
      <c r="T1" t="s">
        <v>114</v>
      </c>
      <c r="U1" t="s">
        <v>22</v>
      </c>
      <c r="V1" t="s">
        <v>0</v>
      </c>
      <c r="W1" t="s">
        <v>115</v>
      </c>
      <c r="X1" t="s">
        <v>22</v>
      </c>
    </row>
    <row r="2" spans="1:24" x14ac:dyDescent="0.3">
      <c r="A2" t="s">
        <v>2</v>
      </c>
      <c r="B2" t="s">
        <v>104</v>
      </c>
      <c r="C2">
        <v>128</v>
      </c>
      <c r="D2" t="s">
        <v>2</v>
      </c>
      <c r="E2" t="s">
        <v>107</v>
      </c>
      <c r="F2">
        <v>64</v>
      </c>
      <c r="G2" t="s">
        <v>2</v>
      </c>
      <c r="H2">
        <v>750</v>
      </c>
      <c r="J2" t="s">
        <v>2</v>
      </c>
      <c r="K2">
        <v>500</v>
      </c>
      <c r="M2" t="s">
        <v>2</v>
      </c>
      <c r="N2">
        <v>250</v>
      </c>
      <c r="P2" t="s">
        <v>2</v>
      </c>
      <c r="Q2">
        <v>500</v>
      </c>
      <c r="S2" t="s">
        <v>2</v>
      </c>
      <c r="T2">
        <v>500</v>
      </c>
      <c r="V2" t="s">
        <v>2</v>
      </c>
      <c r="W2">
        <v>500</v>
      </c>
    </row>
    <row r="3" spans="1:24" x14ac:dyDescent="0.3">
      <c r="A3" t="s">
        <v>3</v>
      </c>
      <c r="B3">
        <v>224</v>
      </c>
      <c r="D3" t="s">
        <v>3</v>
      </c>
      <c r="E3">
        <v>224</v>
      </c>
      <c r="G3" t="s">
        <v>3</v>
      </c>
      <c r="H3">
        <v>224</v>
      </c>
      <c r="J3" t="s">
        <v>3</v>
      </c>
      <c r="K3">
        <v>224</v>
      </c>
      <c r="M3" t="s">
        <v>3</v>
      </c>
      <c r="N3">
        <v>224</v>
      </c>
      <c r="P3" t="s">
        <v>3</v>
      </c>
      <c r="Q3">
        <v>224</v>
      </c>
      <c r="S3" t="s">
        <v>3</v>
      </c>
      <c r="T3">
        <v>224</v>
      </c>
      <c r="V3" t="s">
        <v>3</v>
      </c>
      <c r="W3">
        <v>224</v>
      </c>
    </row>
    <row r="4" spans="1:24" x14ac:dyDescent="0.3">
      <c r="A4" t="s">
        <v>4</v>
      </c>
      <c r="B4" t="s">
        <v>5</v>
      </c>
      <c r="D4" t="s">
        <v>4</v>
      </c>
      <c r="E4" t="s">
        <v>5</v>
      </c>
      <c r="G4" t="s">
        <v>4</v>
      </c>
      <c r="H4" t="s">
        <v>5</v>
      </c>
      <c r="J4" t="s">
        <v>4</v>
      </c>
      <c r="K4" t="s">
        <v>5</v>
      </c>
      <c r="M4" t="s">
        <v>4</v>
      </c>
      <c r="N4" t="s">
        <v>5</v>
      </c>
      <c r="P4" t="s">
        <v>4</v>
      </c>
      <c r="Q4" t="s">
        <v>5</v>
      </c>
      <c r="S4" t="s">
        <v>4</v>
      </c>
      <c r="T4" t="s">
        <v>5</v>
      </c>
      <c r="V4" t="s">
        <v>4</v>
      </c>
      <c r="W4" t="s">
        <v>5</v>
      </c>
    </row>
    <row r="5" spans="1:24" x14ac:dyDescent="0.3">
      <c r="A5" t="s">
        <v>70</v>
      </c>
      <c r="B5" t="s">
        <v>105</v>
      </c>
      <c r="D5" t="s">
        <v>70</v>
      </c>
      <c r="E5" t="s">
        <v>105</v>
      </c>
      <c r="G5" t="s">
        <v>70</v>
      </c>
      <c r="H5" t="s">
        <v>105</v>
      </c>
      <c r="J5" t="s">
        <v>70</v>
      </c>
      <c r="K5" t="s">
        <v>105</v>
      </c>
      <c r="M5" t="s">
        <v>70</v>
      </c>
      <c r="N5" t="s">
        <v>105</v>
      </c>
      <c r="P5" t="s">
        <v>70</v>
      </c>
      <c r="Q5" t="s">
        <v>105</v>
      </c>
      <c r="S5" t="s">
        <v>70</v>
      </c>
      <c r="T5" t="s">
        <v>105</v>
      </c>
      <c r="V5" t="s">
        <v>70</v>
      </c>
      <c r="W5" t="s">
        <v>105</v>
      </c>
    </row>
    <row r="6" spans="1:24" x14ac:dyDescent="0.3">
      <c r="B6" t="s">
        <v>106</v>
      </c>
      <c r="E6" t="s">
        <v>106</v>
      </c>
      <c r="H6" t="s">
        <v>106</v>
      </c>
      <c r="K6" t="s">
        <v>106</v>
      </c>
      <c r="N6" t="s">
        <v>106</v>
      </c>
      <c r="Q6" t="s">
        <v>106</v>
      </c>
      <c r="T6" t="s">
        <v>106</v>
      </c>
      <c r="W6" t="s">
        <v>106</v>
      </c>
    </row>
    <row r="7" spans="1:24" x14ac:dyDescent="0.3">
      <c r="B7" t="s">
        <v>73</v>
      </c>
      <c r="E7" t="s">
        <v>73</v>
      </c>
      <c r="H7" t="s">
        <v>73</v>
      </c>
      <c r="K7" t="s">
        <v>73</v>
      </c>
      <c r="N7" t="s">
        <v>73</v>
      </c>
      <c r="Q7" t="s">
        <v>73</v>
      </c>
      <c r="T7" t="s">
        <v>73</v>
      </c>
      <c r="W7" t="s">
        <v>73</v>
      </c>
    </row>
    <row r="8" spans="1:24" x14ac:dyDescent="0.3">
      <c r="A8" s="1" t="s">
        <v>6</v>
      </c>
      <c r="B8" s="13">
        <v>0.94903691813804203</v>
      </c>
      <c r="D8" s="1" t="s">
        <v>6</v>
      </c>
      <c r="E8" s="13">
        <v>0.95585874799357995</v>
      </c>
      <c r="G8" s="1" t="s">
        <v>6</v>
      </c>
      <c r="H8" s="13">
        <v>0.96348314606741603</v>
      </c>
      <c r="J8" s="1" t="s">
        <v>6</v>
      </c>
      <c r="K8" s="13">
        <v>0.96548956661316199</v>
      </c>
      <c r="M8" s="1" t="s">
        <v>6</v>
      </c>
      <c r="N8" s="13">
        <v>0.95826645264847499</v>
      </c>
      <c r="P8" s="1" t="s">
        <v>6</v>
      </c>
      <c r="Q8" s="13">
        <v>0.96749598715890905</v>
      </c>
      <c r="S8" s="1" t="s">
        <v>6</v>
      </c>
      <c r="T8" s="13">
        <v>0.98916532905297005</v>
      </c>
      <c r="V8" s="1" t="s">
        <v>6</v>
      </c>
      <c r="W8" s="13">
        <v>0.97311396468699896</v>
      </c>
    </row>
    <row r="9" spans="1:24" x14ac:dyDescent="0.3">
      <c r="A9" s="1" t="s">
        <v>7</v>
      </c>
      <c r="B9" s="13">
        <v>0.90559732664995796</v>
      </c>
      <c r="D9" s="1" t="s">
        <v>7</v>
      </c>
      <c r="E9" s="13">
        <v>0.89974937343358397</v>
      </c>
      <c r="G9" s="1" t="s">
        <v>7</v>
      </c>
      <c r="H9" s="13">
        <v>0.92481203007518797</v>
      </c>
      <c r="J9" s="1" t="s">
        <v>7</v>
      </c>
      <c r="K9" s="13">
        <v>0.92564745196324105</v>
      </c>
      <c r="M9" s="1" t="s">
        <v>7</v>
      </c>
      <c r="N9" s="13">
        <v>0.92397660818713501</v>
      </c>
      <c r="P9" s="1" t="s">
        <v>7</v>
      </c>
      <c r="Q9" s="13">
        <v>0.96658312447786099</v>
      </c>
      <c r="S9" s="1" t="s">
        <v>7</v>
      </c>
      <c r="T9" s="13">
        <v>0.94736842105263197</v>
      </c>
      <c r="V9" s="1" t="s">
        <v>7</v>
      </c>
      <c r="W9" s="13">
        <v>0.92898913951545503</v>
      </c>
    </row>
    <row r="10" spans="1:24" x14ac:dyDescent="0.3">
      <c r="A10" s="1" t="s">
        <v>8</v>
      </c>
      <c r="B10" s="13">
        <v>0.984375</v>
      </c>
      <c r="D10" s="1" t="s">
        <v>8</v>
      </c>
      <c r="E10" s="13">
        <v>0.98539402173913004</v>
      </c>
      <c r="G10" s="1" t="s">
        <v>8</v>
      </c>
      <c r="H10" s="13">
        <v>1</v>
      </c>
      <c r="J10" s="1" t="s">
        <v>8</v>
      </c>
      <c r="K10" s="13">
        <v>1</v>
      </c>
      <c r="M10" s="1" t="s">
        <v>8</v>
      </c>
      <c r="N10" s="13">
        <v>1</v>
      </c>
      <c r="P10" s="1" t="s">
        <v>8</v>
      </c>
      <c r="Q10" s="13">
        <v>1</v>
      </c>
      <c r="S10" s="1" t="s">
        <v>8</v>
      </c>
      <c r="T10" s="13">
        <v>0.99966032608695699</v>
      </c>
      <c r="V10" s="1" t="s">
        <v>8</v>
      </c>
      <c r="W10" s="13">
        <v>1</v>
      </c>
    </row>
    <row r="11" spans="1:24" x14ac:dyDescent="0.3">
      <c r="A11" s="1" t="s">
        <v>9</v>
      </c>
      <c r="B11" s="13">
        <v>0.92388167388167397</v>
      </c>
      <c r="D11" s="1" t="s">
        <v>9</v>
      </c>
      <c r="E11" s="13">
        <v>0.94733044733044702</v>
      </c>
      <c r="G11" s="1" t="s">
        <v>9</v>
      </c>
      <c r="H11" s="13">
        <v>0.98845598845598803</v>
      </c>
      <c r="J11" s="1" t="s">
        <v>9</v>
      </c>
      <c r="K11" s="13">
        <v>0.99098124098124096</v>
      </c>
      <c r="M11" s="1" t="s">
        <v>9</v>
      </c>
      <c r="N11" s="13">
        <v>0.99025974025973995</v>
      </c>
      <c r="P11" s="1" t="s">
        <v>9</v>
      </c>
      <c r="Q11" s="13">
        <v>0.98881673881673904</v>
      </c>
      <c r="S11" s="1" t="s">
        <v>9</v>
      </c>
      <c r="T11" s="13">
        <v>0.95887445887445899</v>
      </c>
      <c r="V11" s="1" t="s">
        <v>9</v>
      </c>
      <c r="W11" s="13">
        <v>0.99206349206349198</v>
      </c>
    </row>
    <row r="12" spans="1:24" x14ac:dyDescent="0.3">
      <c r="A12" s="1" t="s">
        <v>10</v>
      </c>
      <c r="B12" s="13">
        <v>0.99649122807017498</v>
      </c>
      <c r="D12" s="1" t="s">
        <v>10</v>
      </c>
      <c r="E12" s="13">
        <v>0.99561403508771895</v>
      </c>
      <c r="G12" s="1" t="s">
        <v>10</v>
      </c>
      <c r="H12" s="13">
        <v>0.987719298245614</v>
      </c>
      <c r="J12" s="1" t="s">
        <v>10</v>
      </c>
      <c r="K12" s="13">
        <v>0.98596491228070204</v>
      </c>
      <c r="M12" s="1" t="s">
        <v>10</v>
      </c>
      <c r="N12" s="13">
        <v>0.99035087719298198</v>
      </c>
      <c r="P12" s="1" t="s">
        <v>10</v>
      </c>
      <c r="Q12" s="13">
        <v>0.981578947368421</v>
      </c>
      <c r="S12" s="1" t="s">
        <v>10</v>
      </c>
      <c r="T12" s="13">
        <v>0.97982456140350904</v>
      </c>
      <c r="V12" s="1" t="s">
        <v>10</v>
      </c>
      <c r="W12" s="13">
        <v>0.98684210526315796</v>
      </c>
    </row>
    <row r="13" spans="1:24" x14ac:dyDescent="0.3">
      <c r="A13" s="1" t="s">
        <v>11</v>
      </c>
      <c r="B13" s="13">
        <v>0.98571428571428599</v>
      </c>
      <c r="D13" s="1" t="s">
        <v>11</v>
      </c>
      <c r="E13" s="13">
        <v>0.98412698412698396</v>
      </c>
      <c r="G13" s="1" t="s">
        <v>11</v>
      </c>
      <c r="H13" s="13">
        <v>1</v>
      </c>
      <c r="J13" s="1" t="s">
        <v>11</v>
      </c>
      <c r="K13" s="13">
        <v>1</v>
      </c>
      <c r="M13" s="1" t="s">
        <v>11</v>
      </c>
      <c r="N13" s="13">
        <v>1</v>
      </c>
      <c r="P13" s="1" t="s">
        <v>11</v>
      </c>
      <c r="Q13" s="13">
        <v>1</v>
      </c>
      <c r="S13" s="1" t="s">
        <v>11</v>
      </c>
      <c r="T13" s="13">
        <v>1</v>
      </c>
      <c r="V13" s="1" t="s">
        <v>11</v>
      </c>
      <c r="W13" s="13">
        <v>1</v>
      </c>
    </row>
    <row r="14" spans="1:24" x14ac:dyDescent="0.3">
      <c r="A14" s="1" t="s">
        <v>12</v>
      </c>
      <c r="B14" s="13">
        <v>0.81502998500749702</v>
      </c>
      <c r="D14" s="1" t="s">
        <v>12</v>
      </c>
      <c r="E14" s="13">
        <v>0.82327586206896597</v>
      </c>
      <c r="G14" s="1" t="s">
        <v>12</v>
      </c>
      <c r="H14" s="13">
        <v>0.95183658170914498</v>
      </c>
      <c r="J14" s="1" t="s">
        <v>12</v>
      </c>
      <c r="K14" s="13">
        <v>0.95014992503748097</v>
      </c>
      <c r="M14" s="1" t="s">
        <v>12</v>
      </c>
      <c r="N14" s="13">
        <v>0.95202398800599697</v>
      </c>
      <c r="P14" s="1" t="s">
        <v>12</v>
      </c>
      <c r="Q14" s="13">
        <v>0.943965517241379</v>
      </c>
      <c r="S14" s="1" t="s">
        <v>12</v>
      </c>
      <c r="T14" s="13">
        <v>0.91904047976012004</v>
      </c>
      <c r="V14" s="1" t="s">
        <v>12</v>
      </c>
      <c r="W14" s="13">
        <v>0.95277361319340304</v>
      </c>
    </row>
    <row r="15" spans="1:24" x14ac:dyDescent="0.3">
      <c r="A15" s="1" t="s">
        <v>13</v>
      </c>
      <c r="B15" s="13">
        <v>0.83725568408456297</v>
      </c>
      <c r="D15" s="1" t="s">
        <v>13</v>
      </c>
      <c r="E15" s="13">
        <v>0.84084563222975695</v>
      </c>
      <c r="G15" s="1" t="s">
        <v>13</v>
      </c>
      <c r="H15" s="13">
        <v>0.93019545273234905</v>
      </c>
      <c r="J15" s="1" t="s">
        <v>13</v>
      </c>
      <c r="K15" s="13">
        <v>0.92859992022337501</v>
      </c>
      <c r="M15" s="1" t="s">
        <v>13</v>
      </c>
      <c r="N15" s="13">
        <v>0.92461108895093802</v>
      </c>
      <c r="P15" s="1" t="s">
        <v>13</v>
      </c>
      <c r="Q15" s="13">
        <v>0.93458316713203005</v>
      </c>
      <c r="S15" s="1" t="s">
        <v>13</v>
      </c>
      <c r="T15" s="13">
        <v>0.91862784204228198</v>
      </c>
      <c r="V15" s="1" t="s">
        <v>13</v>
      </c>
      <c r="W15" s="13">
        <v>0.92580773833266805</v>
      </c>
    </row>
    <row r="16" spans="1:24" x14ac:dyDescent="0.3">
      <c r="A16" s="1" t="s">
        <v>14</v>
      </c>
      <c r="B16" s="13">
        <v>0.98071428571428598</v>
      </c>
      <c r="D16" s="1" t="s">
        <v>14</v>
      </c>
      <c r="E16" s="13">
        <v>0.98214285714285698</v>
      </c>
      <c r="G16" s="1" t="s">
        <v>14</v>
      </c>
      <c r="H16" s="13">
        <v>0.98285714285714298</v>
      </c>
      <c r="J16" s="1" t="s">
        <v>14</v>
      </c>
      <c r="K16" s="13">
        <v>0.98142857142857098</v>
      </c>
      <c r="M16" s="1" t="s">
        <v>14</v>
      </c>
      <c r="N16" s="13">
        <v>0.97964285714285704</v>
      </c>
      <c r="P16" s="1" t="s">
        <v>14</v>
      </c>
      <c r="Q16" s="13">
        <v>0.98464285714285704</v>
      </c>
      <c r="S16" s="1" t="s">
        <v>14</v>
      </c>
      <c r="T16" s="13">
        <v>0.97714285714285698</v>
      </c>
      <c r="V16" s="1" t="s">
        <v>14</v>
      </c>
      <c r="W16" s="13">
        <v>0.98964285714285705</v>
      </c>
    </row>
    <row r="17" spans="1:23" x14ac:dyDescent="0.3">
      <c r="A17" s="1" t="s">
        <v>15</v>
      </c>
      <c r="B17" s="13">
        <v>0.85141739980449704</v>
      </c>
      <c r="D17" s="1" t="s">
        <v>15</v>
      </c>
      <c r="E17" s="13">
        <v>0.79227761485825998</v>
      </c>
      <c r="G17" s="1" t="s">
        <v>15</v>
      </c>
      <c r="H17" s="13">
        <v>0.99462365591397806</v>
      </c>
      <c r="J17" s="1" t="s">
        <v>15</v>
      </c>
      <c r="K17" s="13">
        <v>0.99560117302052797</v>
      </c>
      <c r="M17" s="1" t="s">
        <v>15</v>
      </c>
      <c r="N17" s="13">
        <v>0.99511241446725296</v>
      </c>
      <c r="P17" s="1" t="s">
        <v>15</v>
      </c>
      <c r="Q17" s="13">
        <v>0.99413489736070404</v>
      </c>
      <c r="S17" s="1" t="s">
        <v>15</v>
      </c>
      <c r="T17" s="13">
        <v>0.99511241446725296</v>
      </c>
      <c r="V17" s="1" t="s">
        <v>15</v>
      </c>
      <c r="W17" s="13">
        <v>0.99511241446725296</v>
      </c>
    </row>
    <row r="18" spans="1:23" x14ac:dyDescent="0.3">
      <c r="A18" s="1" t="s">
        <v>16</v>
      </c>
      <c r="B18" s="13">
        <v>0.806055646481178</v>
      </c>
      <c r="D18" s="1" t="s">
        <v>16</v>
      </c>
      <c r="E18" s="13">
        <v>0.81369339879978198</v>
      </c>
      <c r="G18" s="1" t="s">
        <v>16</v>
      </c>
      <c r="H18" s="13">
        <v>0.935351882160393</v>
      </c>
      <c r="J18" s="1" t="s">
        <v>16</v>
      </c>
      <c r="K18" s="13">
        <v>0.93071467539552599</v>
      </c>
      <c r="M18" s="1" t="s">
        <v>16</v>
      </c>
      <c r="N18" s="13">
        <v>0.92716857610474601</v>
      </c>
      <c r="P18" s="1" t="s">
        <v>16</v>
      </c>
      <c r="Q18" s="13">
        <v>0.91925804691762103</v>
      </c>
      <c r="S18" s="1" t="s">
        <v>16</v>
      </c>
      <c r="T18" s="13">
        <v>0.87288597926895795</v>
      </c>
      <c r="V18" s="1" t="s">
        <v>16</v>
      </c>
      <c r="W18" s="13">
        <v>0.93453355155482798</v>
      </c>
    </row>
    <row r="19" spans="1:23" x14ac:dyDescent="0.3">
      <c r="A19" s="1" t="s">
        <v>17</v>
      </c>
      <c r="B19" s="13">
        <v>0.73355195736831302</v>
      </c>
      <c r="D19" s="1" t="s">
        <v>17</v>
      </c>
      <c r="E19" s="13">
        <v>0.72412379585980702</v>
      </c>
      <c r="G19" s="1" t="s">
        <v>17</v>
      </c>
      <c r="H19" s="13">
        <v>0.92969870875179295</v>
      </c>
      <c r="J19" s="1" t="s">
        <v>17</v>
      </c>
      <c r="K19" s="13">
        <v>0.92785406845665097</v>
      </c>
      <c r="M19" s="1" t="s">
        <v>17</v>
      </c>
      <c r="N19" s="13">
        <v>0.92764910842385695</v>
      </c>
      <c r="P19" s="1" t="s">
        <v>17</v>
      </c>
      <c r="Q19" s="13">
        <v>0.90018446402951402</v>
      </c>
      <c r="S19" s="1" t="s">
        <v>17</v>
      </c>
      <c r="T19" s="13">
        <v>0.89772494363599098</v>
      </c>
      <c r="V19" s="1" t="s">
        <v>17</v>
      </c>
      <c r="W19" s="13">
        <v>0.93154334904693603</v>
      </c>
    </row>
    <row r="20" spans="1:23" x14ac:dyDescent="0.3">
      <c r="A20" s="1" t="s">
        <v>18</v>
      </c>
      <c r="B20" s="13">
        <v>1</v>
      </c>
      <c r="D20" s="1" t="s">
        <v>18</v>
      </c>
      <c r="E20" s="13">
        <v>1</v>
      </c>
      <c r="G20" s="1" t="s">
        <v>18</v>
      </c>
      <c r="H20" s="13">
        <v>0.99722222222222201</v>
      </c>
      <c r="J20" s="1" t="s">
        <v>18</v>
      </c>
      <c r="K20" s="13">
        <v>0.99722222222222201</v>
      </c>
      <c r="M20" s="1" t="s">
        <v>18</v>
      </c>
      <c r="N20" s="13">
        <v>0.99722222222222201</v>
      </c>
      <c r="P20" s="1" t="s">
        <v>18</v>
      </c>
      <c r="Q20" s="13">
        <v>1</v>
      </c>
      <c r="S20" s="1" t="s">
        <v>18</v>
      </c>
      <c r="T20" s="13">
        <v>1</v>
      </c>
      <c r="V20" s="1" t="s">
        <v>18</v>
      </c>
      <c r="W20" s="13">
        <v>1</v>
      </c>
    </row>
    <row r="21" spans="1:23" x14ac:dyDescent="0.3">
      <c r="A21" s="1" t="s">
        <v>19</v>
      </c>
      <c r="B21" s="13">
        <v>0.89375000000000004</v>
      </c>
      <c r="D21" s="1" t="s">
        <v>19</v>
      </c>
      <c r="E21" s="13">
        <v>0.88666666666666705</v>
      </c>
      <c r="G21" s="1" t="s">
        <v>19</v>
      </c>
      <c r="H21" s="13">
        <v>0.99375000000000002</v>
      </c>
      <c r="J21" s="1" t="s">
        <v>19</v>
      </c>
      <c r="K21" s="13">
        <v>0.99333333333333296</v>
      </c>
      <c r="M21" s="1" t="s">
        <v>19</v>
      </c>
      <c r="N21" s="13">
        <v>0.99208333333333298</v>
      </c>
      <c r="P21" s="1" t="s">
        <v>19</v>
      </c>
      <c r="Q21" s="13">
        <v>0.99791666666666701</v>
      </c>
      <c r="S21" s="1" t="s">
        <v>19</v>
      </c>
      <c r="T21" s="13">
        <v>0.98499999999999999</v>
      </c>
      <c r="V21" s="1" t="s">
        <v>19</v>
      </c>
      <c r="W21" s="13">
        <v>0.99624999999999997</v>
      </c>
    </row>
    <row r="22" spans="1:23" x14ac:dyDescent="0.3">
      <c r="A22" s="1" t="s">
        <v>20</v>
      </c>
      <c r="B22" s="13">
        <v>0.87526260504201703</v>
      </c>
      <c r="D22" s="1" t="s">
        <v>20</v>
      </c>
      <c r="E22" s="13">
        <v>0.88103991596638698</v>
      </c>
      <c r="G22" s="1" t="s">
        <v>20</v>
      </c>
      <c r="H22" s="13">
        <v>0.91727941176470595</v>
      </c>
      <c r="J22" s="1" t="s">
        <v>20</v>
      </c>
      <c r="K22" s="13">
        <v>0.92016806722689104</v>
      </c>
      <c r="M22" s="1" t="s">
        <v>20</v>
      </c>
      <c r="N22" s="13">
        <v>0.91517857142857095</v>
      </c>
      <c r="P22" s="1" t="s">
        <v>20</v>
      </c>
      <c r="Q22" s="13">
        <v>0.92620798319327702</v>
      </c>
      <c r="S22" s="1" t="s">
        <v>20</v>
      </c>
      <c r="T22" s="13">
        <v>0.89915966386554602</v>
      </c>
      <c r="V22" s="1" t="s">
        <v>20</v>
      </c>
      <c r="W22" s="13">
        <v>0.90861344537815103</v>
      </c>
    </row>
    <row r="23" spans="1:23" x14ac:dyDescent="0.3">
      <c r="A23" s="1" t="s">
        <v>21</v>
      </c>
      <c r="B23" s="2">
        <f>AVERAGE(B8:B22)</f>
        <v>0.90254226639709911</v>
      </c>
      <c r="D23" s="1" t="s">
        <v>21</v>
      </c>
      <c r="E23" s="2">
        <f>AVERAGE(E8:E22)</f>
        <v>0.9008092902202619</v>
      </c>
      <c r="G23" s="1" t="s">
        <v>21</v>
      </c>
      <c r="H23" s="2">
        <f>AVERAGE(H8:H22)</f>
        <v>0.96648570139706236</v>
      </c>
      <c r="J23" s="1" t="s">
        <v>21</v>
      </c>
      <c r="K23" s="2">
        <f>AVERAGE(K8:K22)</f>
        <v>0.96621034187886157</v>
      </c>
      <c r="M23" s="1" t="s">
        <v>21</v>
      </c>
      <c r="N23" s="2">
        <f>AVERAGE(N8:N22)</f>
        <v>0.96490305589120706</v>
      </c>
      <c r="P23" s="1" t="s">
        <v>21</v>
      </c>
      <c r="Q23" s="2">
        <f>AVERAGE(Q8:Q22)</f>
        <v>0.96702455983373192</v>
      </c>
      <c r="S23" s="1" t="s">
        <v>21</v>
      </c>
      <c r="T23" s="2">
        <f>AVERAGE(T8:T22)</f>
        <v>0.95597248511023558</v>
      </c>
      <c r="V23" s="1" t="s">
        <v>21</v>
      </c>
      <c r="W23" s="2">
        <f>AVERAGE(W8:W22)</f>
        <v>0.96768571137634674</v>
      </c>
    </row>
    <row r="26" spans="1:23" x14ac:dyDescent="0.3">
      <c r="A26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46F2-97CA-4320-B7CE-22304F120327}">
  <dimension ref="A1:AJ23"/>
  <sheetViews>
    <sheetView workbookViewId="0">
      <selection activeCell="K22" sqref="K13:K22"/>
    </sheetView>
  </sheetViews>
  <sheetFormatPr defaultRowHeight="14.4" x14ac:dyDescent="0.3"/>
  <cols>
    <col min="2" max="2" width="11.88671875" customWidth="1"/>
    <col min="18" max="18" width="11.6640625" customWidth="1"/>
  </cols>
  <sheetData>
    <row r="1" spans="1:36" x14ac:dyDescent="0.3">
      <c r="A1" t="s">
        <v>0</v>
      </c>
      <c r="B1" t="s">
        <v>59</v>
      </c>
      <c r="C1" t="s">
        <v>22</v>
      </c>
      <c r="E1" t="s">
        <v>0</v>
      </c>
      <c r="F1" t="s">
        <v>60</v>
      </c>
      <c r="G1" t="s">
        <v>22</v>
      </c>
      <c r="I1" t="s">
        <v>0</v>
      </c>
      <c r="J1" t="s">
        <v>61</v>
      </c>
      <c r="K1" t="s">
        <v>22</v>
      </c>
      <c r="M1" t="s">
        <v>0</v>
      </c>
      <c r="N1" t="s">
        <v>62</v>
      </c>
      <c r="O1" t="s">
        <v>22</v>
      </c>
      <c r="P1" t="s">
        <v>0</v>
      </c>
      <c r="Q1" t="s">
        <v>67</v>
      </c>
      <c r="S1" t="s">
        <v>0</v>
      </c>
      <c r="T1" t="s">
        <v>61</v>
      </c>
      <c r="W1" t="s">
        <v>0</v>
      </c>
      <c r="X1" t="s">
        <v>67</v>
      </c>
      <c r="AA1" t="s">
        <v>0</v>
      </c>
      <c r="AB1" t="s">
        <v>63</v>
      </c>
      <c r="AC1" t="s">
        <v>22</v>
      </c>
      <c r="AD1" t="s">
        <v>0</v>
      </c>
      <c r="AE1" t="s">
        <v>64</v>
      </c>
      <c r="AF1" t="s">
        <v>22</v>
      </c>
      <c r="AG1" t="s">
        <v>0</v>
      </c>
      <c r="AH1" t="s">
        <v>61</v>
      </c>
      <c r="AI1" t="s">
        <v>22</v>
      </c>
      <c r="AJ1" t="s">
        <v>53</v>
      </c>
    </row>
    <row r="2" spans="1:36" x14ac:dyDescent="0.3">
      <c r="A2" t="s">
        <v>2</v>
      </c>
      <c r="B2">
        <v>212</v>
      </c>
      <c r="E2" t="s">
        <v>2</v>
      </c>
      <c r="F2">
        <v>256</v>
      </c>
      <c r="G2" t="s">
        <v>23</v>
      </c>
      <c r="I2" t="s">
        <v>2</v>
      </c>
      <c r="J2">
        <v>256</v>
      </c>
      <c r="K2" t="s">
        <v>24</v>
      </c>
      <c r="M2" t="s">
        <v>2</v>
      </c>
      <c r="N2">
        <v>256</v>
      </c>
      <c r="O2" t="s">
        <v>45</v>
      </c>
      <c r="P2" t="s">
        <v>2</v>
      </c>
      <c r="Q2">
        <v>256</v>
      </c>
      <c r="R2" s="14" t="s">
        <v>68</v>
      </c>
      <c r="S2" t="s">
        <v>2</v>
      </c>
      <c r="T2">
        <v>256</v>
      </c>
      <c r="U2" s="14" t="s">
        <v>23</v>
      </c>
      <c r="V2" s="14"/>
      <c r="W2" t="s">
        <v>2</v>
      </c>
      <c r="X2">
        <v>256</v>
      </c>
      <c r="Y2" s="14" t="s">
        <v>69</v>
      </c>
      <c r="AA2" t="s">
        <v>2</v>
      </c>
      <c r="AB2">
        <v>128</v>
      </c>
      <c r="AC2" t="s">
        <v>45</v>
      </c>
      <c r="AD2" t="s">
        <v>2</v>
      </c>
      <c r="AE2">
        <v>64</v>
      </c>
      <c r="AF2" t="s">
        <v>45</v>
      </c>
      <c r="AG2" t="s">
        <v>2</v>
      </c>
      <c r="AH2">
        <v>256</v>
      </c>
      <c r="AI2" t="s">
        <v>23</v>
      </c>
    </row>
    <row r="3" spans="1:36" x14ac:dyDescent="0.3">
      <c r="A3" t="s">
        <v>3</v>
      </c>
      <c r="B3">
        <v>416</v>
      </c>
      <c r="E3" t="s">
        <v>3</v>
      </c>
      <c r="F3">
        <v>416</v>
      </c>
      <c r="I3" t="s">
        <v>3</v>
      </c>
      <c r="J3">
        <v>416</v>
      </c>
      <c r="M3" t="s">
        <v>3</v>
      </c>
      <c r="N3">
        <v>416</v>
      </c>
      <c r="P3" t="s">
        <v>3</v>
      </c>
      <c r="Q3">
        <v>416</v>
      </c>
      <c r="S3" t="s">
        <v>3</v>
      </c>
      <c r="T3">
        <v>1024</v>
      </c>
      <c r="W3" t="s">
        <v>3</v>
      </c>
      <c r="X3">
        <v>416</v>
      </c>
      <c r="AA3" t="s">
        <v>3</v>
      </c>
      <c r="AB3">
        <v>416</v>
      </c>
      <c r="AD3" t="s">
        <v>3</v>
      </c>
      <c r="AE3">
        <v>416</v>
      </c>
      <c r="AG3" t="s">
        <v>3</v>
      </c>
      <c r="AH3">
        <v>832</v>
      </c>
    </row>
    <row r="4" spans="1:36" x14ac:dyDescent="0.3">
      <c r="A4" t="s">
        <v>4</v>
      </c>
      <c r="B4" t="s">
        <v>5</v>
      </c>
      <c r="E4" t="s">
        <v>4</v>
      </c>
      <c r="F4" t="s">
        <v>5</v>
      </c>
      <c r="I4" t="s">
        <v>4</v>
      </c>
      <c r="J4" t="s">
        <v>5</v>
      </c>
      <c r="M4" t="s">
        <v>4</v>
      </c>
      <c r="N4" t="s">
        <v>5</v>
      </c>
      <c r="P4" t="s">
        <v>4</v>
      </c>
      <c r="Q4" t="s">
        <v>5</v>
      </c>
      <c r="S4" t="s">
        <v>4</v>
      </c>
      <c r="T4" t="s">
        <v>5</v>
      </c>
      <c r="W4" t="s">
        <v>4</v>
      </c>
      <c r="X4" t="s">
        <v>5</v>
      </c>
      <c r="AA4" t="s">
        <v>4</v>
      </c>
      <c r="AB4" t="s">
        <v>5</v>
      </c>
      <c r="AD4" t="s">
        <v>4</v>
      </c>
      <c r="AE4" t="s">
        <v>5</v>
      </c>
      <c r="AG4" t="s">
        <v>4</v>
      </c>
      <c r="AH4" t="s">
        <v>5</v>
      </c>
    </row>
    <row r="5" spans="1:36" x14ac:dyDescent="0.3">
      <c r="A5" t="s">
        <v>26</v>
      </c>
      <c r="B5">
        <v>0.01</v>
      </c>
      <c r="E5" t="s">
        <v>26</v>
      </c>
      <c r="F5">
        <v>0.01</v>
      </c>
      <c r="I5" t="s">
        <v>26</v>
      </c>
      <c r="J5">
        <v>0.01</v>
      </c>
      <c r="M5" t="s">
        <v>26</v>
      </c>
      <c r="N5">
        <v>0.01</v>
      </c>
      <c r="P5" t="s">
        <v>26</v>
      </c>
      <c r="Q5">
        <v>0.01</v>
      </c>
      <c r="S5" t="s">
        <v>26</v>
      </c>
      <c r="T5">
        <v>0.01</v>
      </c>
      <c r="W5" t="s">
        <v>26</v>
      </c>
      <c r="X5">
        <v>0.01</v>
      </c>
      <c r="AA5" t="s">
        <v>26</v>
      </c>
      <c r="AB5">
        <v>0.01</v>
      </c>
      <c r="AD5" t="s">
        <v>26</v>
      </c>
      <c r="AE5">
        <v>0.01</v>
      </c>
      <c r="AG5" t="s">
        <v>26</v>
      </c>
      <c r="AH5">
        <v>0.01</v>
      </c>
    </row>
    <row r="8" spans="1:36" x14ac:dyDescent="0.3">
      <c r="A8" s="1" t="s">
        <v>6</v>
      </c>
      <c r="B8" s="13">
        <v>0.77046548956661298</v>
      </c>
      <c r="C8" s="3"/>
      <c r="E8" s="1" t="s">
        <v>6</v>
      </c>
      <c r="F8" s="13">
        <v>0.68097913322632397</v>
      </c>
      <c r="G8" s="3">
        <v>0.78731942215088302</v>
      </c>
      <c r="H8" s="3"/>
      <c r="I8" s="1" t="s">
        <v>6</v>
      </c>
      <c r="J8" s="13">
        <v>0.865569823434992</v>
      </c>
      <c r="K8" s="3">
        <v>0.89526484751203905</v>
      </c>
      <c r="M8" s="1" t="s">
        <v>6</v>
      </c>
      <c r="N8" s="13">
        <v>0.97592295345104296</v>
      </c>
      <c r="O8">
        <v>0.97712680577849098</v>
      </c>
      <c r="P8" s="15" t="s">
        <v>6</v>
      </c>
      <c r="Q8" s="13">
        <v>0.94622792937399702</v>
      </c>
      <c r="S8" s="15" t="s">
        <v>6</v>
      </c>
      <c r="T8" s="13">
        <v>0.96227929373996801</v>
      </c>
      <c r="V8" s="3"/>
      <c r="W8" s="1" t="s">
        <v>6</v>
      </c>
      <c r="X8" s="13">
        <v>0.96629213483146104</v>
      </c>
      <c r="Z8" s="3"/>
      <c r="AA8" s="1" t="s">
        <v>6</v>
      </c>
      <c r="AB8" s="13">
        <v>0.92857142857142905</v>
      </c>
      <c r="AC8" s="3"/>
      <c r="AD8" s="1" t="s">
        <v>6</v>
      </c>
      <c r="AE8" s="13">
        <v>0.82744783306581104</v>
      </c>
      <c r="AF8" s="3"/>
      <c r="AG8" s="1" t="s">
        <v>6</v>
      </c>
      <c r="AH8" s="13">
        <v>0.95786516853932602</v>
      </c>
      <c r="AI8" s="3"/>
      <c r="AJ8" s="3">
        <f t="shared" ref="AJ8:AJ22" si="0">MAX(AH8,AE8,AB8,N8,J8,F8,B8)</f>
        <v>0.97592295345104296</v>
      </c>
    </row>
    <row r="9" spans="1:36" x14ac:dyDescent="0.3">
      <c r="A9" s="1" t="s">
        <v>7</v>
      </c>
      <c r="B9" s="13">
        <v>0.86466165413533802</v>
      </c>
      <c r="C9" s="3"/>
      <c r="E9" s="1" t="s">
        <v>7</v>
      </c>
      <c r="F9" s="13">
        <v>0.79197994987468701</v>
      </c>
      <c r="G9" s="3">
        <v>0.67836257309941494</v>
      </c>
      <c r="H9" s="3"/>
      <c r="I9" s="1" t="s">
        <v>7</v>
      </c>
      <c r="J9" s="13">
        <v>0.95488721804511301</v>
      </c>
      <c r="K9" s="3">
        <v>0.94068504594820401</v>
      </c>
      <c r="M9" s="1" t="s">
        <v>7</v>
      </c>
      <c r="N9" s="13">
        <v>0.94903926482873902</v>
      </c>
      <c r="O9">
        <v>0.94569757727652504</v>
      </c>
      <c r="P9" s="15" t="s">
        <v>7</v>
      </c>
      <c r="Q9" s="13">
        <v>0.94820384294068505</v>
      </c>
      <c r="S9" s="15" t="s">
        <v>7</v>
      </c>
      <c r="T9" s="13">
        <v>0.977443609022556</v>
      </c>
      <c r="V9" s="3"/>
      <c r="W9" s="1" t="s">
        <v>7</v>
      </c>
      <c r="X9" s="13">
        <v>0.95822890559732699</v>
      </c>
      <c r="Z9" s="3"/>
      <c r="AA9" s="1" t="s">
        <v>7</v>
      </c>
      <c r="AB9" s="13">
        <v>0.84711779448621605</v>
      </c>
      <c r="AC9" s="3"/>
      <c r="AD9" s="1" t="s">
        <v>7</v>
      </c>
      <c r="AE9" s="13">
        <v>0.67167919799498699</v>
      </c>
      <c r="AF9" s="3"/>
      <c r="AG9" s="1" t="s">
        <v>7</v>
      </c>
      <c r="AH9" s="13">
        <v>0.96658312447786099</v>
      </c>
      <c r="AI9" s="3"/>
      <c r="AJ9" s="3">
        <f t="shared" si="0"/>
        <v>0.96658312447786099</v>
      </c>
    </row>
    <row r="10" spans="1:36" x14ac:dyDescent="0.3">
      <c r="A10" s="1" t="s">
        <v>8</v>
      </c>
      <c r="B10" s="13">
        <v>0.82982336956521696</v>
      </c>
      <c r="C10" s="3"/>
      <c r="E10" s="1" t="s">
        <v>8</v>
      </c>
      <c r="F10" s="13">
        <v>0.73505434782608703</v>
      </c>
      <c r="G10" s="3">
        <v>0.82133152173913004</v>
      </c>
      <c r="H10" s="3"/>
      <c r="I10" s="1" t="s">
        <v>8</v>
      </c>
      <c r="J10" s="13">
        <v>0.97010869565217395</v>
      </c>
      <c r="K10" s="3">
        <v>0.872282608695652</v>
      </c>
      <c r="M10" s="1" t="s">
        <v>8</v>
      </c>
      <c r="N10" s="13">
        <v>0.99388586956521696</v>
      </c>
      <c r="O10">
        <v>0.99762228260869601</v>
      </c>
      <c r="P10" s="15" t="s">
        <v>8</v>
      </c>
      <c r="Q10" s="13">
        <v>0.98233695652173902</v>
      </c>
      <c r="S10" s="15" t="s">
        <v>8</v>
      </c>
      <c r="T10" s="13">
        <v>0.93682065217391297</v>
      </c>
      <c r="V10" s="3"/>
      <c r="W10" s="1" t="s">
        <v>8</v>
      </c>
      <c r="X10" s="13">
        <v>0.98913043478260898</v>
      </c>
      <c r="Z10" s="3"/>
      <c r="AA10" s="1" t="s">
        <v>8</v>
      </c>
      <c r="AB10" s="13">
        <v>0.97792119565217395</v>
      </c>
      <c r="AC10" s="3"/>
      <c r="AD10" s="1" t="s">
        <v>8</v>
      </c>
      <c r="AE10" s="13">
        <v>0.955842391304348</v>
      </c>
      <c r="AF10" s="3"/>
      <c r="AG10" s="1" t="s">
        <v>8</v>
      </c>
      <c r="AH10" s="13">
        <v>0.942595108695652</v>
      </c>
      <c r="AI10" s="3"/>
      <c r="AJ10" s="3">
        <f t="shared" si="0"/>
        <v>0.99388586956521696</v>
      </c>
    </row>
    <row r="11" spans="1:36" x14ac:dyDescent="0.3">
      <c r="A11" s="1" t="s">
        <v>9</v>
      </c>
      <c r="B11" s="13">
        <v>0.80663780663780704</v>
      </c>
      <c r="C11" s="3"/>
      <c r="E11" s="1" t="s">
        <v>9</v>
      </c>
      <c r="F11" s="13">
        <v>0.81565656565656597</v>
      </c>
      <c r="G11" s="3">
        <v>0.95851370851370898</v>
      </c>
      <c r="H11" s="3"/>
      <c r="I11" s="1" t="s">
        <v>9</v>
      </c>
      <c r="J11" s="13">
        <v>0.92893217893217905</v>
      </c>
      <c r="K11" s="3">
        <v>0.96969696969696995</v>
      </c>
      <c r="M11" s="1" t="s">
        <v>9</v>
      </c>
      <c r="N11" s="13">
        <v>0.94624819624819601</v>
      </c>
      <c r="O11">
        <v>0.95779220779220797</v>
      </c>
      <c r="P11" s="15" t="s">
        <v>9</v>
      </c>
      <c r="Q11" s="13">
        <v>0.95743145743145697</v>
      </c>
      <c r="S11" s="15" t="s">
        <v>9</v>
      </c>
      <c r="T11" s="13">
        <v>0.97546897546897504</v>
      </c>
      <c r="V11" s="3"/>
      <c r="W11" s="1" t="s">
        <v>9</v>
      </c>
      <c r="X11" s="13">
        <v>0.96103896103896103</v>
      </c>
      <c r="Z11" s="3"/>
      <c r="AA11" s="1" t="s">
        <v>9</v>
      </c>
      <c r="AB11" s="13">
        <v>0.91955266955267001</v>
      </c>
      <c r="AC11" s="3"/>
      <c r="AD11" s="1" t="s">
        <v>9</v>
      </c>
      <c r="AE11" s="13">
        <v>0.884920634920635</v>
      </c>
      <c r="AF11" s="3"/>
      <c r="AG11" s="1" t="s">
        <v>9</v>
      </c>
      <c r="AH11" s="13">
        <v>0.94733044733044702</v>
      </c>
      <c r="AI11" s="3"/>
      <c r="AJ11" s="3">
        <f t="shared" si="0"/>
        <v>0.94733044733044702</v>
      </c>
    </row>
    <row r="12" spans="1:36" x14ac:dyDescent="0.3">
      <c r="A12" s="1" t="s">
        <v>10</v>
      </c>
      <c r="B12" s="13">
        <v>0.878070175438596</v>
      </c>
      <c r="C12" s="3"/>
      <c r="E12" s="1" t="s">
        <v>10</v>
      </c>
      <c r="F12" s="13">
        <v>0.97456140350877196</v>
      </c>
      <c r="G12" s="3">
        <v>0.96052631578947401</v>
      </c>
      <c r="H12" s="3"/>
      <c r="I12" s="1" t="s">
        <v>10</v>
      </c>
      <c r="J12" s="13">
        <v>0.99824561403508805</v>
      </c>
      <c r="K12" s="3">
        <v>0.95877192982456105</v>
      </c>
      <c r="M12" s="1" t="s">
        <v>10</v>
      </c>
      <c r="N12" s="13">
        <v>0.99122807017543901</v>
      </c>
      <c r="O12">
        <v>0.98859649122807003</v>
      </c>
      <c r="P12" s="15" t="s">
        <v>10</v>
      </c>
      <c r="Q12" s="13">
        <v>0.98508771929824601</v>
      </c>
      <c r="S12" s="15" t="s">
        <v>10</v>
      </c>
      <c r="T12" s="13">
        <v>0.97456140350877196</v>
      </c>
      <c r="V12" s="3"/>
      <c r="W12" s="1" t="s">
        <v>10</v>
      </c>
      <c r="X12" s="13">
        <v>0.99561403508771895</v>
      </c>
      <c r="Z12" s="3"/>
      <c r="AA12" s="1" t="s">
        <v>10</v>
      </c>
      <c r="AB12" s="13">
        <v>0.90526315789473699</v>
      </c>
      <c r="AC12" s="3"/>
      <c r="AD12" s="1" t="s">
        <v>10</v>
      </c>
      <c r="AE12" s="13">
        <v>0.86666666666666703</v>
      </c>
      <c r="AF12" s="3"/>
      <c r="AG12" s="1" t="s">
        <v>10</v>
      </c>
      <c r="AH12" s="13">
        <v>0.97280701754386001</v>
      </c>
      <c r="AI12" s="3"/>
      <c r="AJ12" s="3">
        <f t="shared" si="0"/>
        <v>0.99824561403508805</v>
      </c>
    </row>
    <row r="13" spans="1:36" x14ac:dyDescent="0.3">
      <c r="A13" s="1" t="s">
        <v>11</v>
      </c>
      <c r="B13" s="13">
        <v>1</v>
      </c>
      <c r="C13" s="3"/>
      <c r="E13" s="1" t="s">
        <v>11</v>
      </c>
      <c r="F13" s="13">
        <v>1</v>
      </c>
      <c r="G13" s="3">
        <v>1</v>
      </c>
      <c r="H13" s="3"/>
      <c r="I13" s="1" t="s">
        <v>11</v>
      </c>
      <c r="J13" s="13">
        <v>1</v>
      </c>
      <c r="K13" s="3">
        <v>1</v>
      </c>
      <c r="M13" s="1" t="s">
        <v>11</v>
      </c>
      <c r="N13" s="13">
        <v>0.99603174603174605</v>
      </c>
      <c r="O13">
        <v>0.99523809523809503</v>
      </c>
      <c r="P13" s="15" t="s">
        <v>11</v>
      </c>
      <c r="Q13" s="13">
        <v>0.99761904761904796</v>
      </c>
      <c r="S13" s="15" t="s">
        <v>11</v>
      </c>
      <c r="T13" s="13">
        <v>0.99603174603174605</v>
      </c>
      <c r="V13" s="3"/>
      <c r="W13" s="1" t="s">
        <v>11</v>
      </c>
      <c r="X13" s="13">
        <v>0.99761904761904796</v>
      </c>
      <c r="Z13" s="3"/>
      <c r="AA13" s="1" t="s">
        <v>11</v>
      </c>
      <c r="AB13" s="13">
        <v>0.99603174603174605</v>
      </c>
      <c r="AC13" s="3"/>
      <c r="AD13" s="1" t="s">
        <v>11</v>
      </c>
      <c r="AE13" s="13">
        <v>0.97936507936507899</v>
      </c>
      <c r="AF13" s="3"/>
      <c r="AG13" s="1" t="s">
        <v>11</v>
      </c>
      <c r="AH13" s="13">
        <v>0.99761904761904796</v>
      </c>
      <c r="AI13" s="3"/>
      <c r="AJ13" s="3">
        <f t="shared" si="0"/>
        <v>1</v>
      </c>
    </row>
    <row r="14" spans="1:36" x14ac:dyDescent="0.3">
      <c r="A14" s="1" t="s">
        <v>12</v>
      </c>
      <c r="B14" s="13">
        <v>0.91866566716641695</v>
      </c>
      <c r="C14" s="3"/>
      <c r="E14" s="1" t="s">
        <v>12</v>
      </c>
      <c r="F14" s="13">
        <v>0.90835832083958001</v>
      </c>
      <c r="G14" s="3">
        <v>0.95933283358320798</v>
      </c>
      <c r="H14" s="3"/>
      <c r="I14" s="1" t="s">
        <v>12</v>
      </c>
      <c r="J14" s="13">
        <v>0.90910794602698697</v>
      </c>
      <c r="K14" s="3">
        <v>0.95352323838080999</v>
      </c>
      <c r="M14" s="1" t="s">
        <v>12</v>
      </c>
      <c r="N14" s="13">
        <v>0.83601949025487299</v>
      </c>
      <c r="O14">
        <v>0.84089205397301403</v>
      </c>
      <c r="P14" s="15" t="s">
        <v>12</v>
      </c>
      <c r="Q14" s="13">
        <v>0.88755622188905603</v>
      </c>
      <c r="S14" s="15" t="s">
        <v>12</v>
      </c>
      <c r="T14" s="13">
        <v>0.81652923538230904</v>
      </c>
      <c r="V14" s="3"/>
      <c r="W14" s="1" t="s">
        <v>12</v>
      </c>
      <c r="X14" s="13">
        <v>0.90198650674662695</v>
      </c>
      <c r="Z14" s="3"/>
      <c r="AA14" s="1" t="s">
        <v>12</v>
      </c>
      <c r="AB14" s="13">
        <v>0.766866566716642</v>
      </c>
      <c r="AC14" s="3"/>
      <c r="AD14" s="1" t="s">
        <v>12</v>
      </c>
      <c r="AE14" s="13">
        <v>0.67747376311844099</v>
      </c>
      <c r="AF14" s="3"/>
      <c r="AG14" s="1" t="s">
        <v>12</v>
      </c>
      <c r="AH14" s="13">
        <v>0.815217391304348</v>
      </c>
      <c r="AI14" s="3"/>
      <c r="AJ14" s="3">
        <f t="shared" si="0"/>
        <v>0.91866566716641695</v>
      </c>
    </row>
    <row r="15" spans="1:36" x14ac:dyDescent="0.3">
      <c r="A15" s="1" t="s">
        <v>13</v>
      </c>
      <c r="B15" s="13">
        <v>0.93179098524132398</v>
      </c>
      <c r="C15" s="3"/>
      <c r="E15" s="1" t="s">
        <v>13</v>
      </c>
      <c r="F15" s="13">
        <v>0.90745911447945804</v>
      </c>
      <c r="G15" s="3">
        <v>0.86158755484643001</v>
      </c>
      <c r="H15" s="3"/>
      <c r="I15" s="1" t="s">
        <v>13</v>
      </c>
      <c r="J15" s="13">
        <v>0.94495412844036697</v>
      </c>
      <c r="K15" s="3">
        <v>0.89748703629836502</v>
      </c>
      <c r="M15" s="1" t="s">
        <v>13</v>
      </c>
      <c r="N15" s="13">
        <v>0.90785799760670105</v>
      </c>
      <c r="O15">
        <v>0.93897088153171104</v>
      </c>
      <c r="P15" s="15" t="s">
        <v>13</v>
      </c>
      <c r="Q15" s="13">
        <v>0.93577981651376096</v>
      </c>
      <c r="S15" s="15" t="s">
        <v>13</v>
      </c>
      <c r="T15" s="13">
        <v>0.87794176306342198</v>
      </c>
      <c r="V15" s="3"/>
      <c r="W15" s="1" t="s">
        <v>13</v>
      </c>
      <c r="X15" s="13">
        <v>0.941763063422417</v>
      </c>
      <c r="Z15" s="3"/>
      <c r="AA15" s="1" t="s">
        <v>13</v>
      </c>
      <c r="AB15" s="13">
        <v>0.84922217790187504</v>
      </c>
      <c r="AC15" s="3"/>
      <c r="AD15" s="1" t="s">
        <v>13</v>
      </c>
      <c r="AE15" s="13">
        <v>0.81491822895891497</v>
      </c>
      <c r="AF15" s="3"/>
      <c r="AG15" s="1" t="s">
        <v>13</v>
      </c>
      <c r="AH15" s="13">
        <v>0.90027921818907097</v>
      </c>
      <c r="AI15" s="3"/>
      <c r="AJ15" s="3">
        <f t="shared" si="0"/>
        <v>0.94495412844036697</v>
      </c>
    </row>
    <row r="16" spans="1:36" x14ac:dyDescent="0.3">
      <c r="A16" s="1" t="s">
        <v>14</v>
      </c>
      <c r="B16" s="13">
        <v>0.91642857142857104</v>
      </c>
      <c r="C16" s="3"/>
      <c r="E16" s="1" t="s">
        <v>14</v>
      </c>
      <c r="F16" s="13">
        <v>0.938214285714286</v>
      </c>
      <c r="G16" s="3">
        <v>0.998571428571428</v>
      </c>
      <c r="H16" s="3"/>
      <c r="I16" s="1" t="s">
        <v>14</v>
      </c>
      <c r="J16" s="13">
        <v>0.93142857142857105</v>
      </c>
      <c r="K16" s="3">
        <v>0.99464285714285705</v>
      </c>
      <c r="M16" s="1" t="s">
        <v>14</v>
      </c>
      <c r="N16" s="13">
        <v>0.85499999999999998</v>
      </c>
      <c r="O16">
        <v>0.96357142857142897</v>
      </c>
      <c r="P16" s="15" t="s">
        <v>14</v>
      </c>
      <c r="Q16" s="13">
        <v>0.89178571428571396</v>
      </c>
      <c r="S16" s="15" t="s">
        <v>14</v>
      </c>
      <c r="T16" s="13">
        <v>0.84142857142857097</v>
      </c>
      <c r="V16" s="3"/>
      <c r="W16" s="1" t="s">
        <v>14</v>
      </c>
      <c r="X16" s="13">
        <v>0.94428571428571395</v>
      </c>
      <c r="Z16" s="3"/>
      <c r="AA16" s="1" t="s">
        <v>14</v>
      </c>
      <c r="AB16" s="13">
        <v>0.77357142857142902</v>
      </c>
      <c r="AC16" s="3"/>
      <c r="AD16" s="1" t="s">
        <v>14</v>
      </c>
      <c r="AE16" s="13">
        <v>0.76821428571428596</v>
      </c>
      <c r="AF16" s="3"/>
      <c r="AG16" s="1" t="s">
        <v>14</v>
      </c>
      <c r="AH16" s="13">
        <v>0.84428571428571397</v>
      </c>
      <c r="AI16" s="3"/>
      <c r="AJ16" s="3">
        <f t="shared" si="0"/>
        <v>0.938214285714286</v>
      </c>
    </row>
    <row r="17" spans="1:36" x14ac:dyDescent="0.3">
      <c r="A17" s="1" t="s">
        <v>15</v>
      </c>
      <c r="B17" s="13">
        <v>0.89100684261974605</v>
      </c>
      <c r="C17" s="3"/>
      <c r="E17" s="1" t="s">
        <v>15</v>
      </c>
      <c r="F17" s="13">
        <v>0.87976539589442804</v>
      </c>
      <c r="G17" s="3">
        <v>0.97116324535679399</v>
      </c>
      <c r="H17" s="3"/>
      <c r="I17" s="1" t="s">
        <v>15</v>
      </c>
      <c r="J17" s="13">
        <v>0.93450635386119296</v>
      </c>
      <c r="K17" s="3">
        <v>0.98387096774193605</v>
      </c>
      <c r="M17" s="1" t="s">
        <v>15</v>
      </c>
      <c r="N17" s="13">
        <v>0.94183773216031297</v>
      </c>
      <c r="O17">
        <v>0.96480938416422302</v>
      </c>
      <c r="P17" s="15" t="s">
        <v>15</v>
      </c>
      <c r="Q17" s="13">
        <v>0.95796676441837703</v>
      </c>
      <c r="S17" s="15" t="s">
        <v>15</v>
      </c>
      <c r="T17" s="13">
        <v>0.882209188660801</v>
      </c>
      <c r="V17" s="3"/>
      <c r="W17" s="1" t="s">
        <v>15</v>
      </c>
      <c r="X17" s="13">
        <v>0.93988269794721402</v>
      </c>
      <c r="Z17" s="3"/>
      <c r="AA17" s="1" t="s">
        <v>15</v>
      </c>
      <c r="AB17" s="13">
        <v>0.84261974584555199</v>
      </c>
      <c r="AC17" s="3"/>
      <c r="AD17" s="1" t="s">
        <v>15</v>
      </c>
      <c r="AE17" s="13">
        <v>0.79863147605083096</v>
      </c>
      <c r="AF17" s="3"/>
      <c r="AG17" s="1" t="s">
        <v>15</v>
      </c>
      <c r="AH17" s="13">
        <v>0.76979472140762495</v>
      </c>
      <c r="AI17" s="3"/>
      <c r="AJ17" s="3">
        <f t="shared" si="0"/>
        <v>0.94183773216031297</v>
      </c>
    </row>
    <row r="18" spans="1:36" x14ac:dyDescent="0.3">
      <c r="A18" s="1" t="s">
        <v>16</v>
      </c>
      <c r="B18" s="13">
        <v>0.79923622476814005</v>
      </c>
      <c r="C18" s="3"/>
      <c r="E18" s="1" t="s">
        <v>16</v>
      </c>
      <c r="F18" s="13">
        <v>0.775777414075286</v>
      </c>
      <c r="G18" s="3">
        <v>0.81369339879978198</v>
      </c>
      <c r="H18" s="3"/>
      <c r="I18" s="1" t="s">
        <v>16</v>
      </c>
      <c r="J18" s="13">
        <v>0.87261320240043705</v>
      </c>
      <c r="K18" s="3">
        <v>0.89443535188215995</v>
      </c>
      <c r="M18" s="1" t="s">
        <v>16</v>
      </c>
      <c r="N18" s="13">
        <v>0.84560829241680302</v>
      </c>
      <c r="O18">
        <v>0.81805782869612698</v>
      </c>
      <c r="P18" s="15" t="s">
        <v>16</v>
      </c>
      <c r="Q18" s="13">
        <v>0.88379705400982</v>
      </c>
      <c r="S18" s="15" t="s">
        <v>16</v>
      </c>
      <c r="T18" s="13">
        <v>0.83851609383524295</v>
      </c>
      <c r="V18" s="3"/>
      <c r="W18" s="1" t="s">
        <v>16</v>
      </c>
      <c r="X18" s="13">
        <v>0.86770321876704903</v>
      </c>
      <c r="Z18" s="3"/>
      <c r="AA18" s="1" t="s">
        <v>16</v>
      </c>
      <c r="AB18" s="13">
        <v>0.76459356246590304</v>
      </c>
      <c r="AC18" s="3"/>
      <c r="AD18" s="1" t="s">
        <v>16</v>
      </c>
      <c r="AE18" s="13">
        <v>0.68603382433169702</v>
      </c>
      <c r="AF18" s="3"/>
      <c r="AG18" s="1" t="s">
        <v>16</v>
      </c>
      <c r="AH18" s="13">
        <v>0.79541734860883795</v>
      </c>
      <c r="AI18" s="3"/>
      <c r="AJ18" s="3">
        <f t="shared" si="0"/>
        <v>0.87261320240043705</v>
      </c>
    </row>
    <row r="19" spans="1:36" x14ac:dyDescent="0.3">
      <c r="A19" s="1" t="s">
        <v>17</v>
      </c>
      <c r="B19" s="13">
        <v>0.685386349661816</v>
      </c>
      <c r="C19" s="3"/>
      <c r="E19" s="1" t="s">
        <v>17</v>
      </c>
      <c r="F19" s="13">
        <v>0.698913711826194</v>
      </c>
      <c r="G19" s="3">
        <v>0.811436769829883</v>
      </c>
      <c r="H19" s="3"/>
      <c r="I19" s="1" t="s">
        <v>17</v>
      </c>
      <c r="J19" s="13">
        <v>0.68702602992416495</v>
      </c>
      <c r="K19" s="3">
        <v>0.87271981963517098</v>
      </c>
      <c r="M19" s="1" t="s">
        <v>17</v>
      </c>
      <c r="N19" s="13">
        <v>0.62266857962697297</v>
      </c>
      <c r="O19">
        <v>0.74420987907358105</v>
      </c>
      <c r="P19" s="15" t="s">
        <v>17</v>
      </c>
      <c r="Q19" s="13">
        <v>0.67452346792375495</v>
      </c>
      <c r="S19" s="15" t="s">
        <v>17</v>
      </c>
      <c r="T19" s="13">
        <v>0.68108218897314998</v>
      </c>
      <c r="V19" s="3"/>
      <c r="W19" s="1" t="s">
        <v>17</v>
      </c>
      <c r="X19" s="13">
        <v>0.70178315228530397</v>
      </c>
      <c r="Z19" s="3"/>
      <c r="AA19" s="1" t="s">
        <v>17</v>
      </c>
      <c r="AB19" s="13">
        <v>0.529206804673089</v>
      </c>
      <c r="AC19" s="3"/>
      <c r="AD19" s="1" t="s">
        <v>17</v>
      </c>
      <c r="AE19" s="13">
        <v>0.533306005328961</v>
      </c>
      <c r="AF19" s="3"/>
      <c r="AG19" s="1" t="s">
        <v>17</v>
      </c>
      <c r="AH19" s="13">
        <v>0.65997130559540895</v>
      </c>
      <c r="AI19" s="3"/>
      <c r="AJ19" s="3">
        <f t="shared" si="0"/>
        <v>0.698913711826194</v>
      </c>
    </row>
    <row r="20" spans="1:36" x14ac:dyDescent="0.3">
      <c r="A20" s="1" t="s">
        <v>18</v>
      </c>
      <c r="B20" s="13">
        <v>0.905555555555556</v>
      </c>
      <c r="C20" s="3"/>
      <c r="E20" s="1" t="s">
        <v>18</v>
      </c>
      <c r="F20" s="13">
        <v>0.81944444444444497</v>
      </c>
      <c r="G20" s="3">
        <v>0.98333333333333295</v>
      </c>
      <c r="H20" s="3"/>
      <c r="I20" s="1" t="s">
        <v>18</v>
      </c>
      <c r="J20" s="13">
        <v>0.98888888888888904</v>
      </c>
      <c r="K20" s="3">
        <v>1</v>
      </c>
      <c r="M20" s="1" t="s">
        <v>18</v>
      </c>
      <c r="N20" s="13">
        <v>0.99722222222222201</v>
      </c>
      <c r="O20">
        <v>0.99722222222222201</v>
      </c>
      <c r="P20" s="15" t="s">
        <v>18</v>
      </c>
      <c r="Q20" s="13">
        <v>1</v>
      </c>
      <c r="S20" s="15" t="s">
        <v>18</v>
      </c>
      <c r="T20" s="13">
        <v>0.98888888888888904</v>
      </c>
      <c r="V20" s="3"/>
      <c r="W20" s="1" t="s">
        <v>18</v>
      </c>
      <c r="X20" s="13">
        <v>0.99722222222222201</v>
      </c>
      <c r="Z20" s="3"/>
      <c r="AA20" s="1" t="s">
        <v>18</v>
      </c>
      <c r="AB20" s="13">
        <v>1</v>
      </c>
      <c r="AC20" s="3"/>
      <c r="AD20" s="1" t="s">
        <v>18</v>
      </c>
      <c r="AE20" s="13">
        <v>0.98333333333333295</v>
      </c>
      <c r="AF20" s="3"/>
      <c r="AG20" s="1" t="s">
        <v>18</v>
      </c>
      <c r="AH20" s="13">
        <v>0.99166666666666703</v>
      </c>
      <c r="AI20" s="3"/>
      <c r="AJ20" s="3">
        <f t="shared" si="0"/>
        <v>1</v>
      </c>
    </row>
    <row r="21" spans="1:36" x14ac:dyDescent="0.3">
      <c r="A21" s="1" t="s">
        <v>19</v>
      </c>
      <c r="B21" s="13">
        <v>0.93666666666666698</v>
      </c>
      <c r="C21" s="3"/>
      <c r="E21" s="1" t="s">
        <v>19</v>
      </c>
      <c r="F21" s="13">
        <v>0.93374999999999997</v>
      </c>
      <c r="G21" s="3">
        <v>0.96583333333333299</v>
      </c>
      <c r="H21" s="3"/>
      <c r="I21" s="1" t="s">
        <v>19</v>
      </c>
      <c r="J21" s="13">
        <v>0.98541666666666705</v>
      </c>
      <c r="K21" s="3">
        <v>0.97375</v>
      </c>
      <c r="M21" s="1" t="s">
        <v>19</v>
      </c>
      <c r="N21" s="13">
        <v>0.95833333333333404</v>
      </c>
      <c r="O21">
        <v>0.94833333333333303</v>
      </c>
      <c r="P21" s="15" t="s">
        <v>19</v>
      </c>
      <c r="Q21" s="13">
        <v>0.97791666666666699</v>
      </c>
      <c r="S21" s="15" t="s">
        <v>19</v>
      </c>
      <c r="T21" s="13">
        <v>0.87749999999999995</v>
      </c>
      <c r="V21" s="3"/>
      <c r="W21" s="1" t="s">
        <v>19</v>
      </c>
      <c r="X21" s="13">
        <v>0.975833333333333</v>
      </c>
      <c r="Z21" s="3"/>
      <c r="AA21" s="1" t="s">
        <v>19</v>
      </c>
      <c r="AB21" s="13">
        <v>0.90375000000000005</v>
      </c>
      <c r="AC21" s="3"/>
      <c r="AD21" s="1" t="s">
        <v>19</v>
      </c>
      <c r="AE21" s="13">
        <v>0.89</v>
      </c>
      <c r="AF21" s="3"/>
      <c r="AG21" s="1" t="s">
        <v>19</v>
      </c>
      <c r="AH21" s="13">
        <v>0.93625000000000003</v>
      </c>
      <c r="AI21" s="3"/>
      <c r="AJ21" s="3">
        <f t="shared" si="0"/>
        <v>0.98541666666666705</v>
      </c>
    </row>
    <row r="22" spans="1:36" x14ac:dyDescent="0.3">
      <c r="A22" s="1" t="s">
        <v>20</v>
      </c>
      <c r="B22" s="13">
        <v>0.86948529411764697</v>
      </c>
      <c r="C22" s="3"/>
      <c r="E22" s="1" t="s">
        <v>20</v>
      </c>
      <c r="F22" s="13">
        <v>0.73503151260504196</v>
      </c>
      <c r="G22" s="3">
        <v>0.90887605042016795</v>
      </c>
      <c r="H22" s="3"/>
      <c r="I22" s="1" t="s">
        <v>20</v>
      </c>
      <c r="J22" s="13">
        <v>0.88419117647058798</v>
      </c>
      <c r="K22" s="3">
        <v>0.95430672268907601</v>
      </c>
      <c r="M22" s="1" t="s">
        <v>20</v>
      </c>
      <c r="N22" s="13">
        <v>0.89154411764705899</v>
      </c>
      <c r="O22">
        <v>0.869747899159664</v>
      </c>
      <c r="P22" s="15" t="s">
        <v>20</v>
      </c>
      <c r="Q22" s="13">
        <v>0.90992647058823495</v>
      </c>
      <c r="S22" s="15" t="s">
        <v>20</v>
      </c>
      <c r="T22" s="13">
        <v>0.78755252100840301</v>
      </c>
      <c r="V22" s="3"/>
      <c r="W22" s="1" t="s">
        <v>20</v>
      </c>
      <c r="X22" s="13">
        <v>0.90388655462184897</v>
      </c>
      <c r="Z22" s="3"/>
      <c r="AA22" s="1" t="s">
        <v>20</v>
      </c>
      <c r="AB22" s="13">
        <v>0.71481092436974802</v>
      </c>
      <c r="AC22" s="3"/>
      <c r="AD22" s="1" t="s">
        <v>20</v>
      </c>
      <c r="AE22" s="13">
        <v>0.69590336134453801</v>
      </c>
      <c r="AF22" s="3"/>
      <c r="AG22" s="1" t="s">
        <v>20</v>
      </c>
      <c r="AH22" s="13">
        <v>0.76943277310924396</v>
      </c>
      <c r="AI22" s="3"/>
      <c r="AJ22" s="3">
        <f t="shared" si="0"/>
        <v>0.89154411764705899</v>
      </c>
    </row>
    <row r="23" spans="1:36" x14ac:dyDescent="0.3">
      <c r="A23" s="1" t="s">
        <v>21</v>
      </c>
      <c r="B23" s="2">
        <f>AVERAGE(B8:B22)</f>
        <v>0.86692537683796378</v>
      </c>
      <c r="C23" s="4"/>
      <c r="E23" s="1" t="s">
        <v>21</v>
      </c>
      <c r="F23" s="2">
        <f>AVERAGE(F8:F22)</f>
        <v>0.8396630399980769</v>
      </c>
      <c r="G23" s="2">
        <f>AVERAGE(G8:G22)</f>
        <v>0.89865876595779792</v>
      </c>
      <c r="I23" s="1" t="s">
        <v>21</v>
      </c>
      <c r="J23" s="2">
        <f>AVERAGE(J8:J22)</f>
        <v>0.92372509961382754</v>
      </c>
      <c r="K23" s="2">
        <f>AVERAGE(K8:K22)</f>
        <v>0.94409582636318679</v>
      </c>
      <c r="M23" s="1" t="s">
        <v>21</v>
      </c>
      <c r="N23" s="2">
        <f>AVERAGE(N8:N22)</f>
        <v>0.91389652437124391</v>
      </c>
      <c r="O23" s="2">
        <f>AVERAGE(O8:O22)</f>
        <v>0.92985922470982585</v>
      </c>
      <c r="P23" s="1" t="s">
        <v>21</v>
      </c>
      <c r="Q23" s="9">
        <f>AVERAGE(Q8:Q22)</f>
        <v>0.92907727529870388</v>
      </c>
      <c r="S23" s="1" t="s">
        <v>21</v>
      </c>
      <c r="T23" s="9">
        <f>AVERAGE(T8:T22)</f>
        <v>0.89428360874578117</v>
      </c>
      <c r="V23" s="9"/>
      <c r="W23" s="1" t="s">
        <v>21</v>
      </c>
      <c r="X23" s="2">
        <f>AVERAGE(X8:X22)</f>
        <v>0.93615133217259017</v>
      </c>
      <c r="Y23" s="16"/>
      <c r="Z23" s="4"/>
      <c r="AA23" s="1" t="s">
        <v>21</v>
      </c>
      <c r="AB23" s="2">
        <f>AVERAGE(AB8:AB22)</f>
        <v>0.84793994684888074</v>
      </c>
      <c r="AC23" s="4"/>
      <c r="AD23" s="1" t="s">
        <v>21</v>
      </c>
      <c r="AE23" s="2">
        <f>AVERAGE(AE8:AE22)</f>
        <v>0.80224907209990204</v>
      </c>
      <c r="AF23" s="4"/>
      <c r="AG23" s="1" t="s">
        <v>21</v>
      </c>
      <c r="AH23" s="2">
        <f>AVERAGE(AH8:AH22)</f>
        <v>0.88447433689154054</v>
      </c>
      <c r="AI23" s="1" t="s">
        <v>21</v>
      </c>
      <c r="AJ23" s="2">
        <f>AVERAGE(AJ8:AJ22)</f>
        <v>0.93827516805875966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2D656-9E70-45F2-82CB-EBA532FA41CD}">
  <dimension ref="A1:L23"/>
  <sheetViews>
    <sheetView workbookViewId="0">
      <selection activeCell="O11" sqref="O11"/>
    </sheetView>
  </sheetViews>
  <sheetFormatPr defaultRowHeight="14.4" x14ac:dyDescent="0.3"/>
  <cols>
    <col min="2" max="2" width="10.44140625" customWidth="1"/>
  </cols>
  <sheetData>
    <row r="1" spans="1:12" x14ac:dyDescent="0.3">
      <c r="A1" t="s">
        <v>0</v>
      </c>
      <c r="B1" t="s">
        <v>65</v>
      </c>
      <c r="C1" t="s">
        <v>22</v>
      </c>
      <c r="D1" t="s">
        <v>0</v>
      </c>
      <c r="E1" t="s">
        <v>61</v>
      </c>
      <c r="F1" t="s">
        <v>22</v>
      </c>
      <c r="H1" t="s">
        <v>0</v>
      </c>
      <c r="I1" t="s">
        <v>66</v>
      </c>
      <c r="K1" t="s">
        <v>0</v>
      </c>
      <c r="L1" t="s">
        <v>60</v>
      </c>
    </row>
    <row r="2" spans="1:12" x14ac:dyDescent="0.3">
      <c r="A2" t="s">
        <v>2</v>
      </c>
      <c r="B2">
        <v>256</v>
      </c>
      <c r="C2" t="s">
        <v>45</v>
      </c>
      <c r="D2" t="s">
        <v>2</v>
      </c>
      <c r="E2">
        <v>128</v>
      </c>
      <c r="F2">
        <v>4.6018518518518521E-2</v>
      </c>
      <c r="H2" t="s">
        <v>2</v>
      </c>
      <c r="I2">
        <v>128</v>
      </c>
      <c r="K2" t="s">
        <v>2</v>
      </c>
      <c r="L2">
        <v>128</v>
      </c>
    </row>
    <row r="3" spans="1:12" x14ac:dyDescent="0.3">
      <c r="A3" t="s">
        <v>3</v>
      </c>
      <c r="B3">
        <v>608</v>
      </c>
      <c r="D3" t="s">
        <v>3</v>
      </c>
      <c r="E3">
        <v>608</v>
      </c>
      <c r="H3" t="s">
        <v>3</v>
      </c>
      <c r="I3">
        <v>608</v>
      </c>
      <c r="K3" t="s">
        <v>3</v>
      </c>
      <c r="L3">
        <v>608</v>
      </c>
    </row>
    <row r="4" spans="1:12" x14ac:dyDescent="0.3">
      <c r="A4" t="s">
        <v>4</v>
      </c>
      <c r="B4" t="s">
        <v>5</v>
      </c>
      <c r="D4" t="s">
        <v>4</v>
      </c>
      <c r="E4" t="s">
        <v>5</v>
      </c>
      <c r="H4" t="s">
        <v>4</v>
      </c>
      <c r="I4" t="s">
        <v>5</v>
      </c>
      <c r="K4" t="s">
        <v>4</v>
      </c>
      <c r="L4" t="s">
        <v>5</v>
      </c>
    </row>
    <row r="5" spans="1:12" x14ac:dyDescent="0.3">
      <c r="A5" t="s">
        <v>26</v>
      </c>
      <c r="B5">
        <v>0.01</v>
      </c>
      <c r="D5" t="s">
        <v>26</v>
      </c>
      <c r="E5">
        <v>0.01</v>
      </c>
      <c r="H5" t="s">
        <v>26</v>
      </c>
      <c r="I5">
        <v>0.01</v>
      </c>
      <c r="K5" t="s">
        <v>26</v>
      </c>
      <c r="L5">
        <v>0.01</v>
      </c>
    </row>
    <row r="8" spans="1:12" x14ac:dyDescent="0.3">
      <c r="A8" s="1" t="s">
        <v>6</v>
      </c>
      <c r="B8" s="13">
        <v>0.98434991974317798</v>
      </c>
      <c r="C8" s="3"/>
      <c r="D8" s="1" t="s">
        <v>6</v>
      </c>
      <c r="E8" s="13">
        <v>0.99077046548956704</v>
      </c>
      <c r="F8" s="3"/>
      <c r="H8" s="1" t="s">
        <v>6</v>
      </c>
      <c r="I8" s="13">
        <v>0.94903691813804203</v>
      </c>
      <c r="K8" s="1" t="s">
        <v>6</v>
      </c>
      <c r="L8" s="13">
        <v>0.98756019261637196</v>
      </c>
    </row>
    <row r="9" spans="1:12" x14ac:dyDescent="0.3">
      <c r="A9" s="1" t="s">
        <v>7</v>
      </c>
      <c r="B9" s="13">
        <v>0.98245614035087703</v>
      </c>
      <c r="C9" s="3"/>
      <c r="D9" s="1" t="s">
        <v>7</v>
      </c>
      <c r="E9" s="13">
        <v>0.94319131161236403</v>
      </c>
      <c r="F9" s="3"/>
      <c r="H9" s="1" t="s">
        <v>7</v>
      </c>
      <c r="I9" s="13">
        <v>0.94235588972431095</v>
      </c>
      <c r="K9" s="1" t="s">
        <v>7</v>
      </c>
      <c r="L9" s="13">
        <v>0.88638262322472905</v>
      </c>
    </row>
    <row r="10" spans="1:12" x14ac:dyDescent="0.3">
      <c r="A10" s="1" t="s">
        <v>8</v>
      </c>
      <c r="B10" s="13">
        <v>0.97282608695652195</v>
      </c>
      <c r="C10" s="3"/>
      <c r="D10" s="1" t="s">
        <v>8</v>
      </c>
      <c r="E10" s="13">
        <v>0.97180706521739102</v>
      </c>
      <c r="F10" s="3"/>
      <c r="H10" s="1" t="s">
        <v>8</v>
      </c>
      <c r="I10" s="13">
        <v>0.973845108695652</v>
      </c>
      <c r="K10" s="1" t="s">
        <v>8</v>
      </c>
      <c r="L10" s="13">
        <v>0.98980978260869601</v>
      </c>
    </row>
    <row r="11" spans="1:12" x14ac:dyDescent="0.3">
      <c r="A11" s="1" t="s">
        <v>9</v>
      </c>
      <c r="B11" s="13">
        <v>0.75432900432900396</v>
      </c>
      <c r="C11" s="3"/>
      <c r="D11" s="1" t="s">
        <v>9</v>
      </c>
      <c r="E11" s="13">
        <v>0.80266955266955298</v>
      </c>
      <c r="F11" s="3"/>
      <c r="H11" s="1" t="s">
        <v>9</v>
      </c>
      <c r="I11" s="13">
        <v>0.80050505050505105</v>
      </c>
      <c r="K11" s="1" t="s">
        <v>9</v>
      </c>
      <c r="L11" s="13">
        <v>0.90476190476190499</v>
      </c>
    </row>
    <row r="12" spans="1:12" x14ac:dyDescent="0.3">
      <c r="A12" s="1" t="s">
        <v>10</v>
      </c>
      <c r="B12" s="13">
        <v>0.87719298245613997</v>
      </c>
      <c r="C12" s="3"/>
      <c r="D12" s="1" t="s">
        <v>10</v>
      </c>
      <c r="E12" s="13">
        <v>0.83245614035087701</v>
      </c>
      <c r="F12" s="3"/>
      <c r="H12" s="1" t="s">
        <v>10</v>
      </c>
      <c r="I12" s="13">
        <v>0.92105263157894701</v>
      </c>
      <c r="K12" s="1" t="s">
        <v>10</v>
      </c>
      <c r="L12" s="13">
        <v>0.90263157894736901</v>
      </c>
    </row>
    <row r="13" spans="1:12" x14ac:dyDescent="0.3">
      <c r="A13" s="1" t="s">
        <v>11</v>
      </c>
      <c r="B13" s="13">
        <v>0.99206349206349198</v>
      </c>
      <c r="C13" s="3"/>
      <c r="D13" s="1" t="s">
        <v>11</v>
      </c>
      <c r="E13" s="13">
        <v>0.96984126984126995</v>
      </c>
      <c r="F13" s="3"/>
      <c r="H13" s="1" t="s">
        <v>11</v>
      </c>
      <c r="I13" s="13">
        <v>0.99206349206349198</v>
      </c>
      <c r="K13" s="1" t="s">
        <v>11</v>
      </c>
      <c r="L13" s="13">
        <v>0.98412698412698396</v>
      </c>
    </row>
    <row r="14" spans="1:12" x14ac:dyDescent="0.3">
      <c r="A14" s="1" t="s">
        <v>12</v>
      </c>
      <c r="B14" s="13">
        <v>0.84482758620689702</v>
      </c>
      <c r="C14" s="3"/>
      <c r="D14" s="1" t="s">
        <v>12</v>
      </c>
      <c r="E14" s="13">
        <v>0.65461019490254901</v>
      </c>
      <c r="F14" s="3"/>
      <c r="H14" s="1" t="s">
        <v>12</v>
      </c>
      <c r="I14" s="13">
        <v>0.82814842578710701</v>
      </c>
      <c r="K14" s="1" t="s">
        <v>12</v>
      </c>
      <c r="L14" s="13">
        <v>0.70502248875562201</v>
      </c>
    </row>
    <row r="15" spans="1:12" x14ac:dyDescent="0.3">
      <c r="A15" s="1" t="s">
        <v>13</v>
      </c>
      <c r="B15" s="13">
        <v>0.89030714000797795</v>
      </c>
      <c r="C15" s="3"/>
      <c r="D15" s="1" t="s">
        <v>13</v>
      </c>
      <c r="E15" s="13">
        <v>0.82728360590347005</v>
      </c>
      <c r="F15" s="3"/>
      <c r="H15" s="1" t="s">
        <v>13</v>
      </c>
      <c r="I15" s="13">
        <v>0.89988033506182696</v>
      </c>
      <c r="K15" s="1" t="s">
        <v>13</v>
      </c>
      <c r="L15" s="13">
        <v>0.84124451535699996</v>
      </c>
    </row>
    <row r="16" spans="1:12" x14ac:dyDescent="0.3">
      <c r="A16" s="1" t="s">
        <v>14</v>
      </c>
      <c r="B16" s="13">
        <v>0.77</v>
      </c>
      <c r="C16" s="3"/>
      <c r="D16" s="1" t="s">
        <v>14</v>
      </c>
      <c r="E16" s="13">
        <v>0.75928571428571401</v>
      </c>
      <c r="F16" s="3"/>
      <c r="H16" s="1" t="s">
        <v>14</v>
      </c>
      <c r="I16" s="13">
        <v>0.71535714285714302</v>
      </c>
      <c r="K16" s="1" t="s">
        <v>14</v>
      </c>
      <c r="L16" s="13">
        <v>0.73678571428571404</v>
      </c>
    </row>
    <row r="17" spans="1:12" x14ac:dyDescent="0.3">
      <c r="A17" s="1" t="s">
        <v>15</v>
      </c>
      <c r="B17" s="13">
        <v>0.97360703812316696</v>
      </c>
      <c r="C17" s="3"/>
      <c r="D17" s="1" t="s">
        <v>15</v>
      </c>
      <c r="E17" s="13">
        <v>0.81769305962854399</v>
      </c>
      <c r="F17" s="3"/>
      <c r="H17" s="1" t="s">
        <v>15</v>
      </c>
      <c r="I17" s="13">
        <v>0.90664711632453598</v>
      </c>
      <c r="K17" s="1" t="s">
        <v>15</v>
      </c>
      <c r="L17" s="13">
        <v>0.89002932551319602</v>
      </c>
    </row>
    <row r="18" spans="1:12" x14ac:dyDescent="0.3">
      <c r="A18" s="1" t="s">
        <v>16</v>
      </c>
      <c r="B18" s="13">
        <v>0.77686852154937303</v>
      </c>
      <c r="C18" s="3"/>
      <c r="D18" s="1" t="s">
        <v>16</v>
      </c>
      <c r="E18" s="13">
        <v>0.77714129841789403</v>
      </c>
      <c r="F18" s="3"/>
      <c r="H18" s="1" t="s">
        <v>16</v>
      </c>
      <c r="I18" s="13">
        <v>0.70812875068194203</v>
      </c>
      <c r="K18" s="1" t="s">
        <v>16</v>
      </c>
      <c r="L18" s="13">
        <v>0.81505728314239001</v>
      </c>
    </row>
    <row r="19" spans="1:12" x14ac:dyDescent="0.3">
      <c r="A19" s="1" t="s">
        <v>17</v>
      </c>
      <c r="B19" s="13">
        <v>0.64910842385734802</v>
      </c>
      <c r="C19" s="3"/>
      <c r="D19" s="1" t="s">
        <v>17</v>
      </c>
      <c r="E19" s="13">
        <v>0.51588440254150503</v>
      </c>
      <c r="F19" s="3"/>
      <c r="H19" s="1" t="s">
        <v>17</v>
      </c>
      <c r="I19" s="13">
        <v>0.70424267267882801</v>
      </c>
      <c r="K19" s="1" t="s">
        <v>17</v>
      </c>
      <c r="L19" s="13">
        <v>0.532281205164993</v>
      </c>
    </row>
    <row r="20" spans="1:12" x14ac:dyDescent="0.3">
      <c r="A20" s="1" t="s">
        <v>18</v>
      </c>
      <c r="B20" s="13">
        <v>0.98333333333333295</v>
      </c>
      <c r="C20" s="3"/>
      <c r="D20" s="1" t="s">
        <v>18</v>
      </c>
      <c r="E20" s="13">
        <v>1</v>
      </c>
      <c r="F20" s="3"/>
      <c r="H20" s="1" t="s">
        <v>18</v>
      </c>
      <c r="I20" s="13">
        <v>0.92500000000000004</v>
      </c>
      <c r="K20" s="1" t="s">
        <v>18</v>
      </c>
      <c r="L20" s="13">
        <v>1</v>
      </c>
    </row>
    <row r="21" spans="1:12" x14ac:dyDescent="0.3">
      <c r="A21" s="1" t="s">
        <v>19</v>
      </c>
      <c r="B21" s="13">
        <v>0.84833333333333305</v>
      </c>
      <c r="C21" s="3"/>
      <c r="D21" s="1" t="s">
        <v>19</v>
      </c>
      <c r="E21" s="13">
        <v>0.81916666666666704</v>
      </c>
      <c r="F21" s="3"/>
      <c r="H21" s="1" t="s">
        <v>19</v>
      </c>
      <c r="I21" s="13">
        <v>0.836666666666667</v>
      </c>
      <c r="K21" s="1" t="s">
        <v>19</v>
      </c>
      <c r="L21" s="13">
        <v>0.79958333333333298</v>
      </c>
    </row>
    <row r="22" spans="1:12" x14ac:dyDescent="0.3">
      <c r="A22" s="1" t="s">
        <v>20</v>
      </c>
      <c r="B22" s="13">
        <v>0.68828781512604997</v>
      </c>
      <c r="C22" s="3"/>
      <c r="D22" s="1" t="s">
        <v>20</v>
      </c>
      <c r="E22" s="13">
        <v>0.81696428571428603</v>
      </c>
      <c r="F22" s="3"/>
      <c r="H22" s="1" t="s">
        <v>20</v>
      </c>
      <c r="I22" s="13">
        <v>0.653098739495798</v>
      </c>
      <c r="K22" s="1" t="s">
        <v>20</v>
      </c>
      <c r="L22" s="13">
        <v>0.86528361344537796</v>
      </c>
    </row>
    <row r="23" spans="1:12" x14ac:dyDescent="0.3">
      <c r="A23" s="1" t="s">
        <v>21</v>
      </c>
      <c r="B23" s="2">
        <f>AVERAGE(B8:B22)</f>
        <v>0.86585938782911265</v>
      </c>
      <c r="C23" s="4"/>
      <c r="D23" s="1" t="s">
        <v>21</v>
      </c>
      <c r="E23" s="2">
        <f>AVERAGE(E8:E22)</f>
        <v>0.83325100221611015</v>
      </c>
      <c r="F23" s="4"/>
      <c r="H23" s="1" t="s">
        <v>21</v>
      </c>
      <c r="I23" s="2">
        <f>AVERAGE(I8:I22)</f>
        <v>0.85040192935062298</v>
      </c>
      <c r="K23" s="1" t="s">
        <v>21</v>
      </c>
      <c r="L23" s="2">
        <f>AVERAGE(L8:L22)</f>
        <v>0.85603736968557886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4313E-033C-4138-BC55-078C7784D2A1}">
  <dimension ref="A1:L20"/>
  <sheetViews>
    <sheetView zoomScale="115" zoomScaleNormal="115" workbookViewId="0">
      <selection activeCell="H19" sqref="H19"/>
    </sheetView>
  </sheetViews>
  <sheetFormatPr defaultRowHeight="14.4" x14ac:dyDescent="0.3"/>
  <cols>
    <col min="1" max="1" width="10.77734375" bestFit="1" customWidth="1"/>
  </cols>
  <sheetData>
    <row r="1" spans="1:12" x14ac:dyDescent="0.3">
      <c r="A1" t="s">
        <v>194</v>
      </c>
      <c r="B1" t="s">
        <v>193</v>
      </c>
      <c r="D1" t="s">
        <v>194</v>
      </c>
      <c r="E1" t="s">
        <v>195</v>
      </c>
    </row>
    <row r="2" spans="1:12" x14ac:dyDescent="0.3">
      <c r="A2" t="s">
        <v>70</v>
      </c>
      <c r="B2" t="s">
        <v>105</v>
      </c>
      <c r="D2" t="s">
        <v>70</v>
      </c>
      <c r="E2" t="s">
        <v>105</v>
      </c>
    </row>
    <row r="4" spans="1:12" x14ac:dyDescent="0.3">
      <c r="B4" t="s">
        <v>73</v>
      </c>
      <c r="E4" t="s">
        <v>73</v>
      </c>
      <c r="K4" t="s">
        <v>196</v>
      </c>
    </row>
    <row r="5" spans="1:12" x14ac:dyDescent="0.3">
      <c r="A5" s="1" t="s">
        <v>6</v>
      </c>
      <c r="B5" s="22"/>
      <c r="D5" s="1" t="s">
        <v>6</v>
      </c>
      <c r="E5" s="22">
        <v>1</v>
      </c>
      <c r="F5">
        <v>0.989692344810436</v>
      </c>
      <c r="H5">
        <v>0.99357945425361205</v>
      </c>
      <c r="I5">
        <v>0.98805692697422398</v>
      </c>
      <c r="K5" s="30">
        <v>0.97913322632423805</v>
      </c>
      <c r="L5" s="30">
        <v>0.98167522160426701</v>
      </c>
    </row>
    <row r="6" spans="1:12" x14ac:dyDescent="0.3">
      <c r="A6" s="1" t="s">
        <v>7</v>
      </c>
      <c r="B6" s="22"/>
      <c r="D6" s="1" t="s">
        <v>7</v>
      </c>
      <c r="E6" s="22">
        <v>0.96574770258980802</v>
      </c>
      <c r="F6">
        <v>0.97858712261930003</v>
      </c>
      <c r="H6">
        <v>0.82121971595655796</v>
      </c>
      <c r="I6">
        <v>0.91766195978797505</v>
      </c>
      <c r="K6" s="30">
        <v>0.98496240601503804</v>
      </c>
      <c r="L6" s="30">
        <v>0.97784611980607905</v>
      </c>
    </row>
    <row r="7" spans="1:12" x14ac:dyDescent="0.3">
      <c r="A7" s="1" t="s">
        <v>8</v>
      </c>
      <c r="B7" s="22"/>
      <c r="D7" s="1" t="s">
        <v>8</v>
      </c>
      <c r="E7" s="22">
        <v>1</v>
      </c>
      <c r="F7">
        <v>0.99276832205133902</v>
      </c>
      <c r="H7">
        <v>0.98607336956521696</v>
      </c>
      <c r="I7">
        <v>0.98877433867325804</v>
      </c>
      <c r="K7" s="30">
        <v>1</v>
      </c>
      <c r="L7" s="30">
        <v>0.98712552351773797</v>
      </c>
    </row>
    <row r="8" spans="1:12" x14ac:dyDescent="0.3">
      <c r="A8" s="1" t="s">
        <v>9</v>
      </c>
      <c r="B8" s="22"/>
      <c r="D8" s="1" t="s">
        <v>9</v>
      </c>
      <c r="E8" s="22">
        <v>0.99134199134199097</v>
      </c>
      <c r="F8">
        <v>0.93392787038212999</v>
      </c>
      <c r="H8">
        <v>0.98701298701298701</v>
      </c>
      <c r="I8">
        <v>0.94754696413661299</v>
      </c>
      <c r="K8" s="30">
        <v>0.99134199134199097</v>
      </c>
      <c r="L8" s="30">
        <v>0.9373630435068</v>
      </c>
    </row>
    <row r="9" spans="1:12" x14ac:dyDescent="0.3">
      <c r="A9" s="1" t="s">
        <v>10</v>
      </c>
      <c r="B9" s="22"/>
      <c r="D9" s="1" t="s">
        <v>10</v>
      </c>
      <c r="E9" s="22">
        <v>0.99210526315789505</v>
      </c>
      <c r="F9">
        <v>0.94701356886443799</v>
      </c>
      <c r="H9">
        <v>0.99210526315789505</v>
      </c>
      <c r="I9">
        <v>0.94323319815710605</v>
      </c>
      <c r="K9" s="30">
        <v>0.99298245614035097</v>
      </c>
      <c r="L9" s="30">
        <v>0.940172999480266</v>
      </c>
    </row>
    <row r="10" spans="1:12" x14ac:dyDescent="0.3">
      <c r="A10" s="1" t="s">
        <v>11</v>
      </c>
      <c r="B10" s="22"/>
      <c r="D10" s="1" t="s">
        <v>11</v>
      </c>
      <c r="E10" s="22">
        <v>1</v>
      </c>
      <c r="F10">
        <v>0.98722084072563598</v>
      </c>
      <c r="H10">
        <v>0.99920634920634899</v>
      </c>
      <c r="I10">
        <v>0.98710962098320798</v>
      </c>
      <c r="K10" s="30">
        <v>1</v>
      </c>
      <c r="L10" s="30">
        <v>0.98023438207573799</v>
      </c>
    </row>
    <row r="11" spans="1:12" x14ac:dyDescent="0.3">
      <c r="A11" s="1" t="s">
        <v>12</v>
      </c>
      <c r="B11" s="22"/>
      <c r="D11" s="1" t="s">
        <v>12</v>
      </c>
      <c r="E11" s="22">
        <v>0.95427286356821595</v>
      </c>
      <c r="F11">
        <v>0.96712041593681697</v>
      </c>
      <c r="H11">
        <v>0.910419790104948</v>
      </c>
      <c r="I11">
        <v>0.95751230584012903</v>
      </c>
      <c r="K11" s="30">
        <v>0.9702023988006</v>
      </c>
      <c r="L11" s="30">
        <v>0.974879679602215</v>
      </c>
    </row>
    <row r="12" spans="1:12" x14ac:dyDescent="0.3">
      <c r="A12" s="1" t="s">
        <v>13</v>
      </c>
      <c r="B12" s="22"/>
      <c r="D12" s="1" t="s">
        <v>13</v>
      </c>
      <c r="E12" s="22">
        <v>0.93418428400478704</v>
      </c>
      <c r="F12">
        <v>0.98150323616962498</v>
      </c>
      <c r="H12">
        <v>0.92859992022337501</v>
      </c>
      <c r="I12">
        <v>0.98200081545770601</v>
      </c>
      <c r="K12" s="30">
        <v>0.98284802552852002</v>
      </c>
      <c r="L12" s="30">
        <v>0.98372213803419695</v>
      </c>
    </row>
    <row r="13" spans="1:12" x14ac:dyDescent="0.3">
      <c r="A13" s="1" t="s">
        <v>14</v>
      </c>
      <c r="B13" s="22"/>
      <c r="D13" s="1" t="s">
        <v>14</v>
      </c>
      <c r="E13" s="22">
        <v>0.997142857142857</v>
      </c>
      <c r="F13">
        <v>0.98454633065925501</v>
      </c>
      <c r="H13">
        <v>0.99535714285714305</v>
      </c>
      <c r="I13">
        <v>0.98259186391242404</v>
      </c>
      <c r="K13" s="30">
        <v>1</v>
      </c>
      <c r="L13" s="30">
        <v>0.97717731418263498</v>
      </c>
    </row>
    <row r="14" spans="1:12" x14ac:dyDescent="0.3">
      <c r="A14" s="1" t="s">
        <v>15</v>
      </c>
      <c r="B14" s="22"/>
      <c r="D14" s="1" t="s">
        <v>15</v>
      </c>
      <c r="E14" s="22">
        <v>0.99315738025415501</v>
      </c>
      <c r="F14">
        <v>0.98265484363255795</v>
      </c>
      <c r="H14">
        <v>0.989247311827957</v>
      </c>
      <c r="I14">
        <v>0.97994321689842501</v>
      </c>
      <c r="K14" s="30">
        <v>0.985826001955034</v>
      </c>
      <c r="L14" s="30">
        <v>0.98340062018973795</v>
      </c>
    </row>
    <row r="15" spans="1:12" x14ac:dyDescent="0.3">
      <c r="A15" s="1" t="s">
        <v>16</v>
      </c>
      <c r="B15" s="22">
        <v>0.94379999999999997</v>
      </c>
      <c r="D15" s="1" t="s">
        <v>16</v>
      </c>
      <c r="E15" s="22">
        <v>0.95908346972176794</v>
      </c>
      <c r="F15">
        <v>0.97570726865916702</v>
      </c>
      <c r="H15">
        <v>0.94217130387343195</v>
      </c>
      <c r="I15">
        <v>0.971602630944427</v>
      </c>
      <c r="K15" s="30">
        <v>0.95990180032733197</v>
      </c>
      <c r="L15" s="30">
        <v>0.98476276256024498</v>
      </c>
    </row>
    <row r="16" spans="1:12" x14ac:dyDescent="0.3">
      <c r="A16" s="1" t="s">
        <v>17</v>
      </c>
      <c r="B16" s="22"/>
      <c r="D16" s="1" t="s">
        <v>17</v>
      </c>
      <c r="E16" s="22">
        <v>0.92416478786636602</v>
      </c>
      <c r="F16">
        <v>0.98758281567370299</v>
      </c>
      <c r="H16">
        <v>0.89854478376716496</v>
      </c>
      <c r="I16">
        <v>0.98362821928810495</v>
      </c>
      <c r="K16" s="30">
        <v>0.99098175855708104</v>
      </c>
      <c r="L16" s="30">
        <v>0.99070208826226103</v>
      </c>
    </row>
    <row r="17" spans="1:12" x14ac:dyDescent="0.3">
      <c r="A17" s="1" t="s">
        <v>18</v>
      </c>
      <c r="B17" s="22"/>
      <c r="D17" s="1" t="s">
        <v>18</v>
      </c>
      <c r="E17" s="22">
        <v>0.88611111111111096</v>
      </c>
      <c r="F17">
        <v>0.98834136143185303</v>
      </c>
      <c r="H17">
        <v>0.875</v>
      </c>
      <c r="I17">
        <v>0.98894734963338105</v>
      </c>
      <c r="K17" s="30">
        <v>1</v>
      </c>
      <c r="L17" s="30">
        <v>0.98593642478074495</v>
      </c>
    </row>
    <row r="18" spans="1:12" x14ac:dyDescent="0.3">
      <c r="A18" s="1" t="s">
        <v>19</v>
      </c>
      <c r="B18" s="22"/>
      <c r="D18" s="1" t="s">
        <v>19</v>
      </c>
      <c r="E18" s="22">
        <v>0.99916666666666698</v>
      </c>
      <c r="F18">
        <v>0.96503878483667305</v>
      </c>
      <c r="H18">
        <v>0.93374999999999997</v>
      </c>
      <c r="I18">
        <v>0.961762924700866</v>
      </c>
      <c r="K18" s="30">
        <v>1</v>
      </c>
      <c r="L18" s="30">
        <v>0.98081445157865998</v>
      </c>
    </row>
    <row r="19" spans="1:12" x14ac:dyDescent="0.3">
      <c r="A19" s="1" t="s">
        <v>20</v>
      </c>
      <c r="B19" s="22"/>
      <c r="D19" s="1" t="s">
        <v>20</v>
      </c>
      <c r="E19" s="22">
        <v>0.94248949579831898</v>
      </c>
      <c r="F19">
        <v>0.98518220732128703</v>
      </c>
      <c r="H19">
        <v>0.87132352941176505</v>
      </c>
      <c r="I19">
        <v>0.98002841528996298</v>
      </c>
      <c r="K19" s="30">
        <v>0.97899159663865498</v>
      </c>
      <c r="L19" s="30">
        <v>0.98436574757637296</v>
      </c>
    </row>
    <row r="20" spans="1:12" x14ac:dyDescent="0.3">
      <c r="A20" s="1" t="s">
        <v>21</v>
      </c>
      <c r="B20" s="24">
        <f>AVERAGE(B5:B19)</f>
        <v>0.94379999999999997</v>
      </c>
      <c r="D20" s="1" t="s">
        <v>21</v>
      </c>
      <c r="E20" s="24">
        <f>AVERAGE(E5:E19)</f>
        <v>0.96926452488159598</v>
      </c>
      <c r="H20" s="24">
        <f>AVERAGE(H5:H19)</f>
        <v>0.94157406141456013</v>
      </c>
      <c r="K20" s="24">
        <f>AVERAGE(K5:K19)</f>
        <v>0.98781144410858945</v>
      </c>
      <c r="L20" s="24">
        <f>AVERAGE(L5:L19)</f>
        <v>0.97667856778386353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Baseline</vt:lpstr>
      <vt:lpstr>Squeezenet</vt:lpstr>
      <vt:lpstr>ResNet18</vt:lpstr>
      <vt:lpstr>mobilenetv2</vt:lpstr>
      <vt:lpstr>ResNet50</vt:lpstr>
      <vt:lpstr>Darknet_tiny</vt:lpstr>
      <vt:lpstr>Darknet19</vt:lpstr>
      <vt:lpstr>Darknet53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mbilal</dc:creator>
  <cp:lastModifiedBy>Muhammad Bilal</cp:lastModifiedBy>
  <dcterms:created xsi:type="dcterms:W3CDTF">2015-06-05T18:17:20Z</dcterms:created>
  <dcterms:modified xsi:type="dcterms:W3CDTF">2025-06-07T18:12:33Z</dcterms:modified>
</cp:coreProperties>
</file>